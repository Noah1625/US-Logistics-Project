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EF\EXCELCNV\4180297c-5c18-432a-b270-187af43e1017\"/>
    </mc:Choice>
  </mc:AlternateContent>
  <xr:revisionPtr revIDLastSave="107" documentId="8_{F0FE5A90-4326-42CA-9590-371C1A2B718F}" xr6:coauthVersionLast="47" xr6:coauthVersionMax="47" xr10:uidLastSave="{24F8D9F0-EFB0-4ECB-8DE8-A138413A6C78}"/>
  <bookViews>
    <workbookView xWindow="-60" yWindow="-60" windowWidth="15480" windowHeight="11640" xr2:uid="{DCAF5C91-DF8F-46C1-8F11-35A528E03E74}"/>
  </bookViews>
  <sheets>
    <sheet name="Data" sheetId="1" r:id="rId1"/>
    <sheet name="Data Profile" sheetId="2" r:id="rId2"/>
    <sheet name="Outli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B5" i="3"/>
  <c r="C4" i="3"/>
  <c r="B4" i="3"/>
  <c r="C3" i="3"/>
  <c r="B3" i="3"/>
  <c r="D3" i="3"/>
  <c r="E3" i="3"/>
  <c r="F3" i="3"/>
  <c r="D4" i="3"/>
  <c r="E4" i="3"/>
  <c r="F4" i="3"/>
  <c r="C2" i="3"/>
  <c r="B2" i="3"/>
  <c r="F12" i="2"/>
  <c r="F11" i="2"/>
  <c r="F10" i="2"/>
  <c r="F9" i="2"/>
  <c r="F8" i="2"/>
  <c r="F7" i="2"/>
  <c r="F6" i="2"/>
  <c r="F5" i="2"/>
  <c r="F4" i="2"/>
  <c r="F3" i="2"/>
  <c r="F2" i="2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2" i="3" l="1"/>
  <c r="G4" i="3"/>
  <c r="H4" i="3" s="1"/>
  <c r="G3" i="3"/>
  <c r="H3" i="3" s="1"/>
  <c r="D5" i="3"/>
  <c r="E5" i="3" l="1"/>
  <c r="F5" i="3"/>
  <c r="E2" i="3"/>
  <c r="F2" i="3"/>
  <c r="G2" i="3" l="1"/>
  <c r="H2" i="3" s="1"/>
  <c r="G5" i="3"/>
  <c r="H5" i="3" s="1"/>
</calcChain>
</file>

<file path=xl/sharedStrings.xml><?xml version="1.0" encoding="utf-8"?>
<sst xmlns="http://schemas.openxmlformats.org/spreadsheetml/2006/main" count="10055" uniqueCount="2067">
  <si>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</si>
  <si>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</si>
  <si>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</si>
  <si>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</si>
  <si>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</si>
  <si>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</si>
  <si>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</si>
  <si>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</si>
  <si>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</si>
  <si>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</si>
  <si>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</si>
  <si>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1. status is delivered so they are erronous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</si>
  <si>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</si>
  <si>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</si>
  <si>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</si>
  <si>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</si>
  <si>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</si>
  <si>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</si>
  <si>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</si>
  <si>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</si>
  <si>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</si>
  <si>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</si>
  <si>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</si>
  <si>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</si>
  <si>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</si>
  <si>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</si>
  <si>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</si>
  <si>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</si>
  <si>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</si>
  <si>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</si>
  <si>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</si>
  <si>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</si>
  <si>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</si>
  <si>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</si>
  <si>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</si>
  <si>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</si>
  <si>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</si>
  <si>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</si>
  <si>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</si>
  <si>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</si>
  <si>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</si>
  <si>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</si>
  <si>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</si>
  <si>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</si>
  <si>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</si>
  <si>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</si>
  <si>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</si>
  <si>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</si>
  <si>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</si>
  <si>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</si>
  <si>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</si>
  <si>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</si>
  <si>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</si>
  <si>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</si>
  <si>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</si>
  <si>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</si>
  <si>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</si>
  <si>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</si>
  <si>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</si>
  <si>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</si>
  <si>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</si>
  <si>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</si>
  <si>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</si>
  <si>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</si>
  <si>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</si>
  <si>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</si>
  <si>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</si>
  <si>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</si>
  <si>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</si>
  <si>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</si>
  <si>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</si>
  <si>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</si>
  <si>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</si>
  <si>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</si>
  <si>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</si>
  <si>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</si>
  <si>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</si>
  <si>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</si>
  <si>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</si>
  <si>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</si>
  <si>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</si>
  <si>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</si>
  <si>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</si>
  <si>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</si>
  <si>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</si>
  <si>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</si>
  <si>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</si>
  <si>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</si>
  <si>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</si>
  <si>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</si>
  <si>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</si>
  <si>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</si>
  <si>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</si>
  <si>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</si>
  <si>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</si>
  <si>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</si>
  <si>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</si>
  <si>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</si>
  <si>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</si>
  <si>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</si>
  <si>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</si>
  <si>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</si>
  <si>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</si>
  <si>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</si>
  <si>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</si>
  <si>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</si>
  <si>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</si>
  <si>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</si>
  <si>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</si>
  <si>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</si>
  <si>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</si>
  <si>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</si>
  <si>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</si>
  <si>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</si>
  <si>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</si>
  <si>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</si>
  <si>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</si>
  <si>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</si>
  <si>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</si>
  <si>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</si>
  <si>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</si>
  <si>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</si>
  <si>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</si>
  <si>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</si>
  <si>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</si>
  <si>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</si>
  <si>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</si>
  <si>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</si>
  <si>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</si>
  <si>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</si>
  <si>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</si>
  <si>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</si>
  <si>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</si>
  <si>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</si>
  <si>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</si>
  <si>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</si>
  <si>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</si>
  <si>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</si>
  <si>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</si>
  <si>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</si>
  <si>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</si>
  <si>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</si>
  <si>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</si>
  <si>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</si>
  <si>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</si>
  <si>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</si>
  <si>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</si>
  <si>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</si>
  <si>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</si>
  <si>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</si>
  <si>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</si>
  <si>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</si>
  <si>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</si>
  <si>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</si>
  <si>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</si>
  <si>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</si>
  <si>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</si>
  <si>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</si>
  <si>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</si>
  <si>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</si>
  <si>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</si>
  <si>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</si>
  <si>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</si>
  <si>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</si>
  <si>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</si>
  <si>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</si>
  <si>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</si>
  <si>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</si>
  <si>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</si>
  <si>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</si>
  <si>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</si>
  <si>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</si>
  <si>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</si>
  <si>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</si>
  <si>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</si>
  <si>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</si>
  <si>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</si>
  <si>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</si>
  <si>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</si>
  <si>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</si>
  <si>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</si>
  <si>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</si>
  <si>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</si>
  <si>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</si>
  <si>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</si>
  <si>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</si>
  <si>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</si>
  <si>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</si>
  <si>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</si>
  <si>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</si>
  <si>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</si>
  <si>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</si>
  <si>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</si>
  <si>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</si>
  <si>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</si>
  <si>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</si>
  <si>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</si>
  <si>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</si>
  <si>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</si>
  <si>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</si>
  <si>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</si>
  <si>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</si>
  <si>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</si>
  <si>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</si>
  <si>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</si>
  <si>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</si>
  <si>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</si>
  <si>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</si>
  <si>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</si>
  <si>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</si>
  <si>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</si>
  <si>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</si>
  <si>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</si>
  <si>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</si>
  <si>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</si>
  <si>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</si>
  <si>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</si>
  <si>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</si>
  <si>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</si>
  <si>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</si>
  <si>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</si>
  <si>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</si>
  <si>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</si>
  <si>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</si>
  <si>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</si>
  <si>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</si>
  <si>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</si>
  <si>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</si>
  <si>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</si>
  <si>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</si>
  <si>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</si>
  <si>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</si>
  <si>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</si>
  <si>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</si>
  <si>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</si>
  <si>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</si>
  <si>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</si>
  <si>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</si>
  <si>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</si>
  <si>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</si>
  <si>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</si>
  <si>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</si>
  <si>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</si>
  <si>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</si>
  <si>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</si>
  <si>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</si>
  <si>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</si>
  <si>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</si>
  <si>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</si>
  <si>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</si>
  <si>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</si>
  <si>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</si>
  <si>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</si>
  <si>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</si>
  <si>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</si>
  <si>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</si>
  <si>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</si>
  <si>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</si>
  <si>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</si>
  <si>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</si>
  <si>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</si>
  <si>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</si>
  <si>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</si>
  <si>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</si>
  <si>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</si>
  <si>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</si>
  <si>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</si>
  <si>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</si>
  <si>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</si>
  <si>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</si>
  <si>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</si>
  <si>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</si>
  <si>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</si>
  <si>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</si>
  <si>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</si>
  <si>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</si>
  <si>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</si>
  <si>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</si>
  <si>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</si>
  <si>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</si>
  <si>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</si>
  <si>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</si>
  <si>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</si>
  <si>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</si>
  <si>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</si>
  <si>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</si>
  <si>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</si>
  <si>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</si>
  <si>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</si>
  <si>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</si>
  <si>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</si>
  <si>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</si>
  <si>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</si>
  <si>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</si>
  <si>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</si>
  <si>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</si>
  <si>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</si>
  <si>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</si>
  <si>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</si>
  <si>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</si>
  <si>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</si>
  <si>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</si>
  <si>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</si>
  <si>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</si>
  <si>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</si>
  <si>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</si>
  <si>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</si>
  <si>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</si>
  <si>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</si>
  <si>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</si>
  <si>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</si>
  <si>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</si>
  <si>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</si>
  <si>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</si>
  <si>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</si>
  <si>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</si>
  <si>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</si>
  <si>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</si>
  <si>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</si>
  <si>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</si>
  <si>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</si>
  <si>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</si>
  <si>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</si>
  <si>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</si>
  <si>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</si>
  <si>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</si>
  <si>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</si>
  <si>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</si>
  <si>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</si>
  <si>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</si>
  <si>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</si>
  <si>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</si>
  <si>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</si>
  <si>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</si>
  <si>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</si>
  <si>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</si>
  <si>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</si>
  <si>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</si>
  <si>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</si>
  <si>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</si>
  <si>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</si>
  <si>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</si>
  <si>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</si>
  <si>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</si>
  <si>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</si>
  <si>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</si>
  <si>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</si>
  <si>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</si>
  <si>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</si>
  <si>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</si>
  <si>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</si>
  <si>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</si>
  <si>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</si>
  <si>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</si>
  <si>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</si>
  <si>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</si>
  <si>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</si>
  <si>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</si>
  <si>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</si>
  <si>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</si>
  <si>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</si>
  <si>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</si>
  <si>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</si>
  <si>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</si>
  <si>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</si>
  <si>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</si>
  <si>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</si>
  <si>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</si>
  <si>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</si>
  <si>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</si>
  <si>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</si>
  <si>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</si>
  <si>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</si>
  <si>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</si>
  <si>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</si>
  <si>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</si>
  <si>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</si>
  <si>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</si>
  <si>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</si>
  <si>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</si>
  <si>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</si>
  <si>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</si>
  <si>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</si>
  <si>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</si>
  <si>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</si>
  <si>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</si>
  <si>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</si>
  <si>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</si>
  <si>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</si>
  <si>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</si>
  <si>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</si>
  <si>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</si>
  <si>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</si>
  <si>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</si>
  <si>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</si>
  <si>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</si>
  <si>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</si>
  <si>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</si>
  <si>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</si>
  <si>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</si>
  <si>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</si>
  <si>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</si>
  <si>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</si>
  <si>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</si>
  <si>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</si>
  <si>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</si>
  <si>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</si>
  <si>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</si>
  <si>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</si>
  <si>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</si>
  <si>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</si>
  <si>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</si>
  <si>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</si>
  <si>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</si>
  <si>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</si>
  <si>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</si>
  <si>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</si>
  <si>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</si>
  <si>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</si>
  <si>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</si>
  <si>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</si>
  <si>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</si>
  <si>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</si>
  <si>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</si>
  <si>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</si>
  <si>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</si>
  <si>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</si>
  <si>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</si>
  <si>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</si>
  <si>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</si>
  <si>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</si>
  <si>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</si>
  <si>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</si>
  <si>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</si>
  <si>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</si>
  <si>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</si>
  <si>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</si>
  <si>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</si>
  <si>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</si>
  <si>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</si>
  <si>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</si>
  <si>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</si>
  <si>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</si>
  <si>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</si>
  <si>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</si>
  <si>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</si>
  <si>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</si>
  <si>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</si>
  <si>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</si>
  <si>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</si>
  <si>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</si>
  <si>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</si>
  <si>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</si>
  <si>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</si>
  <si>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</si>
  <si>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</si>
  <si>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</si>
  <si>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</si>
  <si>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</si>
  <si>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</si>
  <si>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</si>
  <si>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</si>
  <si>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</si>
  <si>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</si>
  <si>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</si>
  <si>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</si>
  <si>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</si>
  <si>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</si>
  <si>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</si>
  <si>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</si>
  <si>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</si>
  <si>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</si>
  <si>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</si>
  <si>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</si>
  <si>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</si>
  <si>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</si>
  <si>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</si>
  <si>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</si>
  <si>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</si>
  <si>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</si>
  <si>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</si>
  <si>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</si>
  <si>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</si>
  <si>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</si>
  <si>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</si>
  <si>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</si>
  <si>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</si>
  <si>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</si>
  <si>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</si>
  <si>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</si>
  <si>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</si>
  <si>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</si>
  <si>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</si>
  <si>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</si>
  <si>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</si>
  <si>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</si>
  <si>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</si>
  <si>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</si>
  <si>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</si>
  <si>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</si>
  <si>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</si>
  <si>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</si>
  <si>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</si>
  <si>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</si>
  <si>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</si>
  <si>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</si>
  <si>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</si>
  <si>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</si>
  <si>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</si>
  <si>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</si>
  <si>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</si>
  <si>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</si>
  <si>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</si>
  <si>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</si>
  <si>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</si>
  <si>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</si>
  <si>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</si>
  <si>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</si>
  <si>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</si>
  <si>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</si>
  <si>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</si>
  <si>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</si>
  <si>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</si>
  <si>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</si>
  <si>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</si>
  <si>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</si>
  <si>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</si>
  <si>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</si>
  <si>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</si>
  <si>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</si>
  <si>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</si>
  <si>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</si>
  <si>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</si>
  <si>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</si>
  <si>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</si>
  <si>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</si>
  <si>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</si>
  <si>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</si>
  <si>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</si>
  <si>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</si>
  <si>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</si>
  <si>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</si>
  <si>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</si>
  <si>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</si>
  <si>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</si>
  <si>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</si>
  <si>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</si>
  <si>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</si>
  <si>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</si>
  <si>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</si>
  <si>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</si>
  <si>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</si>
  <si>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</si>
  <si>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</si>
  <si>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</si>
  <si>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</si>
  <si>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</si>
  <si>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</si>
  <si>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</si>
  <si>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</si>
  <si>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</si>
  <si>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</si>
  <si>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</si>
  <si>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</si>
  <si>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</si>
  <si>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</si>
  <si>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</si>
  <si>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</si>
  <si>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</si>
  <si>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</si>
  <si>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</si>
  <si>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</si>
  <si>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</si>
  <si>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</si>
  <si>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</si>
  <si>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</si>
  <si>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</si>
  <si>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</si>
  <si>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</si>
  <si>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</si>
  <si>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</si>
  <si>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</si>
  <si>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</si>
  <si>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</si>
  <si>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</si>
  <si>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</si>
  <si>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</si>
  <si>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</si>
  <si>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</si>
  <si>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</si>
  <si>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</si>
  <si>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</si>
  <si>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</si>
  <si>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</si>
  <si>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</si>
  <si>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</si>
  <si>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</si>
  <si>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</si>
  <si>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</si>
  <si>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</si>
  <si>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</si>
  <si>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</si>
  <si>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</si>
  <si>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</si>
  <si>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</si>
  <si>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</si>
  <si>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</si>
  <si>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</si>
  <si>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</si>
  <si>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</si>
  <si>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</si>
  <si>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</si>
  <si>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</si>
  <si>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</si>
  <si>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</si>
  <si>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</si>
  <si>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</si>
  <si>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</si>
  <si>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</si>
  <si>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</si>
  <si>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</si>
  <si>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</si>
  <si>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</si>
  <si>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</si>
  <si>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</si>
  <si>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</si>
  <si>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</si>
  <si>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</si>
  <si>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</si>
  <si>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</si>
  <si>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</si>
  <si>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</si>
  <si>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</si>
  <si>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</si>
  <si>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</si>
  <si>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</si>
  <si>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</si>
  <si>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</si>
  <si>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</si>
  <si>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</si>
  <si>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</si>
  <si>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</si>
  <si>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</si>
  <si>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</si>
  <si>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</si>
  <si>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</si>
  <si>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</si>
  <si>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</si>
  <si>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</si>
  <si>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</si>
  <si>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</si>
  <si>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</si>
  <si>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</si>
  <si>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</si>
  <si>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</si>
  <si>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</si>
  <si>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</si>
  <si>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</si>
  <si>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</si>
  <si>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</si>
  <si>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</si>
  <si>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</si>
  <si>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</si>
  <si>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</si>
  <si>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</si>
  <si>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</si>
  <si>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</si>
  <si>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</si>
  <si>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</si>
  <si>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</si>
  <si>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</si>
  <si>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</si>
  <si>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</si>
  <si>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</si>
  <si>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</si>
  <si>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</si>
  <si>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</si>
  <si>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</si>
  <si>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</si>
  <si>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</si>
  <si>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</si>
  <si>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</si>
  <si>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</si>
  <si>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</si>
  <si>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</si>
  <si>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</si>
  <si>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</si>
  <si>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</si>
  <si>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</si>
  <si>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</si>
  <si>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</si>
  <si>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</si>
  <si>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</si>
  <si>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</si>
  <si>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</si>
  <si>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</si>
  <si>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</si>
  <si>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</si>
  <si>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</si>
  <si>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</si>
  <si>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</si>
  <si>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</si>
  <si>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</si>
  <si>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</si>
  <si>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</si>
  <si>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</si>
  <si>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</si>
  <si>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</si>
  <si>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</si>
  <si>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</si>
  <si>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</si>
  <si>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</si>
  <si>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</si>
  <si>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</si>
  <si>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</si>
  <si>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</si>
  <si>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</si>
  <si>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</si>
  <si>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</si>
  <si>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</si>
  <si>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</si>
  <si>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</si>
  <si>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</si>
  <si>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</si>
  <si>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</si>
  <si>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</si>
  <si>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</si>
  <si>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</si>
  <si>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</si>
  <si>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</si>
  <si>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</si>
  <si>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</si>
  <si>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</si>
  <si>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</si>
  <si>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</si>
  <si>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</si>
  <si>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</si>
  <si>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</si>
  <si>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</si>
  <si>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</si>
  <si>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</si>
  <si>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</si>
  <si>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</si>
  <si>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</si>
  <si>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</si>
  <si>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</si>
  <si>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</si>
  <si>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</si>
  <si>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</si>
  <si>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</si>
  <si>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</si>
  <si>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</si>
  <si>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</si>
  <si>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</si>
  <si>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</si>
  <si>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</si>
  <si>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</si>
  <si>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</si>
  <si>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</si>
  <si>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</si>
  <si>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</si>
  <si>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</si>
  <si>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</si>
  <si>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</si>
  <si>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</si>
  <si>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</si>
  <si>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</si>
  <si>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</si>
  <si>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</si>
  <si>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</si>
  <si>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</si>
  <si>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</si>
  <si>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</si>
  <si>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</si>
  <si>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</si>
  <si>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</si>
  <si>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</si>
  <si>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</si>
  <si>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</si>
  <si>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</si>
  <si>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</si>
  <si>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</si>
  <si>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</si>
  <si>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</si>
  <si>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</si>
  <si>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</si>
  <si>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</si>
  <si>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</si>
  <si>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</si>
  <si>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</si>
  <si>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</si>
  <si>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</si>
  <si>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</si>
  <si>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</si>
  <si>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</si>
  <si>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</si>
  <si>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</si>
  <si>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</si>
  <si>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</si>
  <si>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</si>
  <si>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</si>
  <si>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</si>
  <si>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</si>
  <si>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</si>
  <si>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</si>
  <si>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</si>
  <si>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</si>
  <si>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</si>
  <si>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</si>
  <si>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</si>
  <si>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</si>
  <si>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</si>
  <si>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</si>
  <si>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</si>
  <si>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</si>
  <si>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</si>
  <si>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</si>
  <si>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</si>
  <si>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</si>
  <si>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</si>
  <si>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</si>
  <si>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</si>
  <si>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</si>
  <si>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</si>
  <si>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</si>
  <si>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</si>
  <si>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</si>
  <si>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</si>
  <si>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</si>
  <si>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</si>
  <si>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</si>
  <si>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</si>
  <si>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</si>
  <si>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</si>
  <si>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</si>
  <si>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</si>
  <si>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</si>
  <si>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</si>
  <si>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</si>
  <si>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</si>
  <si>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</si>
  <si>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</si>
  <si>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</si>
  <si>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</si>
  <si>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</si>
  <si>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</si>
  <si>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</si>
  <si>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</si>
  <si>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</si>
  <si>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</si>
  <si>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</si>
  <si>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</si>
  <si>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</si>
  <si>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</si>
  <si>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</si>
  <si>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</si>
  <si>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</si>
  <si>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</si>
  <si>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</si>
  <si>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</si>
  <si>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</si>
  <si>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</si>
  <si>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</si>
  <si>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</si>
  <si>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</si>
  <si>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</si>
  <si>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</si>
  <si>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</si>
  <si>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</si>
  <si>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</si>
  <si>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</si>
  <si>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</si>
  <si>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</si>
  <si>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</si>
  <si>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</si>
  <si>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</si>
  <si>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</si>
  <si>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</si>
  <si>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</si>
  <si>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</si>
  <si>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</si>
  <si>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</si>
  <si>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</si>
  <si>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</si>
  <si>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</si>
  <si>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</si>
  <si>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</si>
  <si>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</si>
  <si>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</si>
  <si>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</si>
  <si>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</si>
  <si>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</si>
  <si>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</si>
  <si>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</si>
  <si>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</si>
  <si>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</si>
  <si>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</si>
  <si>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</si>
  <si>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</si>
  <si>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</si>
  <si>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</si>
  <si>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</si>
  <si>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</si>
  <si>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</si>
  <si>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</si>
  <si>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</si>
  <si>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</si>
  <si>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</si>
  <si>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</si>
  <si>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</si>
  <si>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</si>
  <si>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</si>
  <si>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</si>
  <si>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</si>
  <si>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</si>
  <si>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</si>
  <si>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</si>
  <si>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</si>
  <si>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</si>
  <si>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</si>
  <si>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</si>
  <si>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</si>
  <si>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</si>
  <si>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</si>
  <si>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</si>
  <si>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</si>
  <si>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</si>
  <si>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</si>
  <si>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</si>
  <si>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</si>
  <si>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</si>
  <si>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</si>
  <si>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</si>
  <si>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</si>
  <si>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</si>
  <si>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</si>
  <si>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</si>
  <si>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</si>
  <si>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</si>
  <si>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</si>
  <si>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</si>
  <si>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</si>
  <si>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</si>
  <si>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</si>
  <si>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</si>
  <si>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</si>
  <si>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</si>
  <si>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</si>
  <si>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</si>
  <si>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</si>
  <si>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</si>
  <si>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</si>
  <si>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</si>
  <si>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</si>
  <si>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</si>
  <si>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</si>
  <si>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</si>
  <si>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</si>
  <si>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</si>
  <si>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</si>
  <si>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</si>
  <si>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</si>
  <si>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</si>
  <si>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</si>
  <si>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</si>
  <si>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</si>
  <si>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</si>
  <si>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</si>
  <si>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</si>
  <si>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</si>
  <si>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</si>
  <si>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</si>
  <si>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</si>
  <si>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</si>
  <si>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</si>
  <si>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</si>
  <si>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</si>
  <si>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</si>
  <si>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</si>
  <si>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</si>
  <si>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</si>
  <si>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</si>
  <si>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</si>
  <si>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</si>
  <si>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</si>
  <si>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</si>
  <si>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</si>
  <si>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</si>
  <si>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</si>
  <si>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</si>
  <si>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</si>
  <si>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</si>
  <si>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</si>
  <si>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</si>
  <si>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</si>
  <si>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</si>
  <si>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</si>
  <si>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</si>
  <si>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</si>
  <si>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</si>
  <si>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</si>
  <si>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</si>
  <si>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</si>
  <si>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</si>
  <si>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</si>
  <si>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</si>
  <si>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</si>
  <si>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</si>
  <si>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</si>
  <si>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</si>
  <si>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</si>
  <si>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</si>
  <si>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</si>
  <si>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</si>
  <si>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</si>
  <si>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</si>
  <si>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</si>
  <si>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</si>
  <si>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</si>
  <si>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</si>
  <si>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</si>
  <si>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</si>
  <si>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</si>
  <si>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</si>
  <si>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</si>
  <si>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</si>
  <si>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</si>
  <si>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</si>
  <si>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</si>
  <si>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</si>
  <si>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</si>
  <si>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</si>
  <si>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</si>
  <si>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</si>
  <si>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</si>
  <si>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</si>
  <si>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</si>
  <si>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</si>
  <si>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</si>
  <si>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</si>
  <si>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</si>
  <si>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</si>
  <si>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</si>
  <si>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</si>
  <si>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</si>
  <si>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</si>
  <si>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</si>
  <si>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</si>
  <si>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</si>
  <si>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</si>
  <si>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</si>
  <si>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</si>
  <si>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</si>
  <si>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</si>
  <si>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</si>
  <si>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</si>
  <si>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</si>
  <si>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</si>
  <si>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</si>
  <si>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</si>
  <si>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</si>
  <si>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</si>
  <si>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</si>
  <si>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</si>
  <si>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</si>
  <si>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</si>
  <si>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</si>
  <si>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</si>
  <si>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</si>
  <si>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</si>
  <si>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</si>
  <si>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</si>
  <si>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</si>
  <si>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</si>
  <si>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</si>
  <si>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</si>
  <si>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</si>
  <si>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</si>
  <si>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</si>
  <si>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</si>
  <si>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</si>
  <si>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</si>
  <si>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</si>
  <si>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</si>
  <si>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</si>
  <si>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</si>
  <si>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</si>
  <si>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</si>
  <si>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</si>
  <si>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</si>
  <si>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</si>
  <si>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</si>
  <si>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</si>
  <si>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</si>
  <si>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</si>
  <si>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</si>
  <si>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</si>
  <si>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</si>
  <si>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</si>
  <si>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</si>
  <si>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</si>
  <si>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</si>
  <si>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</si>
  <si>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</si>
  <si>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</si>
  <si>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</si>
  <si>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</si>
  <si>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</si>
  <si>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</si>
  <si>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</si>
  <si>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</si>
  <si>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</si>
  <si>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</si>
  <si>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</si>
  <si>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</si>
  <si>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</si>
  <si>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</si>
  <si>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</si>
  <si>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</si>
  <si>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</si>
  <si>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</si>
  <si>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</si>
  <si>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</si>
  <si>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</si>
  <si>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</si>
  <si>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</si>
  <si>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</si>
  <si>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</si>
  <si>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</si>
  <si>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</si>
  <si>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</si>
  <si>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</si>
  <si>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</si>
  <si>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</si>
  <si>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</si>
  <si>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</si>
  <si>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</si>
  <si>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</si>
  <si>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</si>
  <si>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</si>
  <si>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</si>
  <si>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</si>
  <si>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</si>
  <si>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</si>
  <si>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</si>
  <si>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</si>
  <si>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</si>
  <si>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</si>
  <si>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</si>
  <si>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</si>
  <si>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</si>
  <si>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</si>
  <si>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</si>
  <si>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</si>
  <si>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</si>
  <si>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</si>
  <si>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</si>
  <si>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</si>
  <si>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</si>
  <si>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</si>
  <si>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</si>
  <si>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</si>
  <si>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</si>
  <si>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</si>
  <si>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</si>
  <si>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</si>
  <si>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</si>
  <si>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</si>
  <si>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</si>
  <si>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</si>
  <si>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</si>
  <si>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</si>
  <si>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</si>
  <si>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</si>
  <si>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</si>
  <si>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</si>
  <si>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</si>
  <si>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</si>
  <si>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</si>
  <si>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</si>
  <si>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</si>
  <si>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</si>
  <si>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</si>
  <si>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</si>
  <si>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</si>
  <si>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</si>
  <si>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</si>
  <si>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</si>
  <si>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</si>
  <si>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</si>
  <si>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</si>
  <si>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</si>
  <si>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</si>
  <si>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</si>
  <si>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</si>
  <si>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</si>
  <si>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</si>
  <si>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</si>
  <si>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</si>
  <si>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</si>
  <si>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</si>
  <si>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</si>
  <si>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</si>
  <si>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</si>
  <si>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</si>
  <si>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</si>
  <si>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</si>
  <si>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</si>
  <si>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</si>
  <si>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</si>
  <si>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</si>
  <si>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</si>
  <si>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</si>
  <si>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</si>
  <si>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</si>
  <si>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</si>
  <si>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</si>
  <si>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</si>
  <si>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</si>
  <si>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</si>
  <si>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</si>
  <si>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</si>
  <si>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</si>
  <si>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</si>
  <si>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</si>
  <si>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</si>
  <si>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</si>
  <si>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</si>
  <si>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</si>
  <si>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</si>
  <si>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</si>
  <si>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</si>
  <si>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</si>
  <si>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</si>
  <si>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</si>
  <si>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</si>
  <si>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</si>
  <si>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</si>
  <si>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</si>
  <si>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</si>
  <si>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</si>
  <si>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</si>
  <si>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</si>
  <si>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</si>
  <si>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</si>
  <si>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</si>
  <si>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</si>
  <si>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</si>
  <si>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</si>
  <si>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</si>
  <si>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</si>
  <si>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</si>
  <si>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</si>
  <si>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</si>
  <si>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</si>
  <si>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</si>
  <si>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</si>
  <si>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</si>
  <si>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</si>
  <si>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</si>
  <si>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</si>
  <si>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</si>
  <si>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</si>
  <si>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</si>
  <si>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</si>
  <si>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</si>
  <si>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</si>
  <si>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</si>
  <si>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</si>
  <si>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</si>
  <si>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</si>
  <si>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</si>
  <si>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</si>
  <si>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</si>
  <si>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</si>
  <si>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</si>
  <si>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</si>
  <si>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</si>
  <si>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</si>
  <si>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</si>
  <si>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</si>
  <si>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</si>
  <si>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</si>
  <si>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</si>
  <si>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</si>
  <si>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</si>
  <si>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</si>
  <si>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</si>
  <si>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</si>
  <si>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</si>
  <si>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</si>
  <si>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</si>
  <si>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</si>
  <si>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</si>
  <si>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</si>
  <si>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</si>
  <si>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</si>
  <si>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</si>
  <si>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</si>
  <si>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</si>
  <si>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</si>
  <si>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</si>
  <si>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</si>
  <si>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</si>
  <si>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</si>
  <si>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</si>
  <si>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</si>
  <si>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</si>
  <si>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</si>
  <si>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</si>
  <si>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</si>
  <si>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</si>
  <si>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</si>
  <si>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</si>
  <si>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</si>
  <si>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</si>
  <si>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</si>
  <si>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</si>
  <si>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</si>
  <si>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</si>
  <si>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</si>
  <si>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</si>
  <si>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</si>
  <si>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</si>
  <si>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</si>
  <si>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</si>
  <si>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</si>
  <si>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</si>
  <si>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</si>
  <si>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</si>
  <si>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</si>
  <si>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</si>
  <si>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</si>
  <si>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</si>
  <si>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</si>
  <si>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</si>
  <si>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</si>
  <si>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</si>
  <si>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</si>
  <si>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</si>
  <si>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</si>
  <si>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</si>
  <si>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</si>
  <si>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</si>
  <si>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</si>
  <si>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</si>
  <si>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</si>
  <si>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</si>
  <si>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</si>
  <si>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</si>
  <si>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</si>
  <si>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</si>
  <si>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</si>
  <si>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</si>
  <si>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</si>
  <si>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</si>
  <si>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</si>
  <si>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</si>
  <si>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</si>
  <si>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</si>
  <si>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</si>
  <si>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</si>
  <si>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</si>
  <si>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</si>
  <si>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</si>
  <si>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</si>
  <si>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</si>
  <si>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</si>
  <si>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</si>
  <si>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</si>
  <si>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</si>
  <si>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</si>
  <si>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</si>
  <si>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</si>
  <si>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</si>
  <si>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</si>
  <si>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</si>
  <si>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</si>
  <si>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</si>
  <si>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</si>
  <si>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</si>
  <si>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</si>
  <si>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</si>
  <si>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</si>
  <si>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</si>
  <si>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</si>
  <si>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</si>
  <si>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</si>
  <si>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</si>
  <si>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</si>
  <si>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</si>
  <si>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</si>
  <si>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</si>
  <si>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</si>
  <si>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</si>
  <si>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</si>
  <si>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</si>
  <si>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</si>
  <si>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</si>
  <si>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</si>
  <si>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</si>
  <si>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</si>
  <si>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</si>
  <si>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</si>
  <si>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</si>
  <si>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</si>
  <si>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</si>
  <si>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</si>
  <si>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</si>
  <si>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</si>
  <si>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</si>
  <si>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</si>
  <si>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</si>
  <si>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</si>
  <si>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</si>
  <si>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</si>
  <si>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</si>
  <si>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</si>
  <si>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</si>
  <si>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</si>
  <si>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</si>
  <si>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</si>
  <si>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</si>
  <si>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</si>
  <si>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</si>
  <si>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</si>
  <si>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</si>
  <si>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</si>
  <si>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</si>
  <si>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</si>
  <si>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</si>
  <si>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</si>
  <si>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</si>
  <si>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</si>
  <si>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</si>
  <si>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</si>
  <si>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</si>
  <si>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</si>
  <si>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</si>
  <si>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</si>
  <si>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</si>
  <si>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</si>
  <si>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</si>
  <si>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</si>
  <si>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</si>
  <si>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</si>
  <si>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</si>
  <si>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</si>
  <si>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</si>
  <si>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</si>
  <si>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</si>
  <si>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</si>
  <si>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</si>
  <si>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</si>
  <si>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</si>
  <si>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</si>
  <si>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</si>
  <si>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</si>
  <si>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</si>
  <si>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</si>
  <si>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</si>
  <si>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</si>
  <si>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</si>
  <si>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</si>
  <si>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</si>
  <si>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</si>
  <si>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</si>
  <si>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</si>
  <si>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</si>
  <si>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</si>
  <si>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</si>
  <si>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</si>
  <si>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</si>
  <si>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</si>
  <si>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</si>
  <si>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</si>
  <si>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</si>
  <si>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</si>
  <si>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</si>
  <si>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</si>
  <si>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</si>
  <si>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</si>
  <si>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</si>
  <si>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</si>
  <si>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</si>
  <si>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</si>
  <si>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</si>
  <si>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</si>
  <si>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</si>
  <si>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</si>
  <si>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</si>
  <si>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</si>
  <si>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</si>
  <si>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</si>
  <si>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</si>
  <si>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</si>
  <si>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</si>
  <si>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</si>
  <si>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</si>
  <si>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</si>
  <si>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</si>
  <si>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</si>
  <si>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</si>
  <si>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</si>
  <si>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</si>
  <si>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</si>
  <si>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</si>
  <si>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</si>
  <si>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</si>
  <si>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</si>
  <si>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</si>
  <si>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</si>
  <si>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</si>
  <si>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</si>
  <si>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</si>
  <si>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</si>
  <si>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</si>
  <si>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</si>
  <si>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</si>
  <si>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</si>
  <si>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</si>
  <si>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</si>
  <si>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</si>
  <si>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</si>
  <si>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</si>
  <si>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</si>
  <si>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</si>
  <si>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</si>
  <si>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</si>
  <si>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</si>
  <si>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</si>
  <si>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</si>
  <si>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</si>
  <si>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</si>
  <si>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</si>
  <si>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</si>
  <si>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</si>
  <si>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</si>
  <si>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</si>
  <si>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</si>
  <si>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</si>
  <si>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</si>
  <si>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</si>
  <si>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</si>
  <si>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</si>
  <si>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</si>
  <si>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</si>
  <si>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</si>
  <si>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</si>
  <si>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</si>
  <si>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</si>
  <si>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</si>
  <si>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</si>
  <si>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</si>
  <si>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</si>
  <si>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</si>
  <si>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</si>
  <si>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</si>
  <si>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</si>
  <si>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</si>
  <si>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</si>
  <si>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</si>
  <si>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</si>
  <si>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</si>
  <si>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</si>
  <si>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</si>
  <si>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</si>
  <si>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</si>
  <si>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</si>
  <si>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</si>
  <si>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</si>
  <si>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</si>
  <si>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</si>
  <si>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</si>
  <si>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</si>
  <si>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</si>
  <si>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</si>
  <si>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</si>
  <si>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</si>
  <si>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</si>
  <si>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</si>
  <si>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</si>
  <si>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</si>
  <si>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</si>
  <si>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</si>
  <si>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</si>
  <si>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</si>
  <si>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</si>
  <si>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</si>
  <si>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</si>
  <si>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</si>
  <si>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</si>
  <si>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</si>
  <si>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</si>
  <si>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</si>
  <si>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</si>
  <si>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</si>
  <si>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</si>
  <si>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</si>
  <si>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</si>
  <si>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</si>
  <si>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</si>
  <si>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</si>
  <si>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</si>
  <si>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</si>
  <si>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</si>
  <si>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</si>
  <si>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</si>
  <si>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</si>
  <si>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</si>
  <si>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</si>
  <si>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</si>
  <si>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</si>
  <si>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</si>
  <si>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</si>
  <si>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</si>
  <si>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</si>
  <si>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</si>
  <si>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</si>
  <si>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</si>
  <si>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</si>
  <si>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</si>
  <si>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</si>
  <si>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</si>
  <si>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</si>
  <si>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</si>
  <si>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</si>
  <si>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</si>
  <si>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</si>
  <si>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</si>
  <si>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</si>
  <si>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</si>
  <si>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</si>
  <si>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</si>
  <si>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</si>
  <si>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</si>
  <si>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</si>
  <si>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</si>
  <si>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</si>
  <si>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</si>
  <si>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</si>
  <si>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</si>
  <si>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</si>
  <si>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</si>
  <si>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</si>
  <si>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</si>
  <si>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</si>
  <si>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</si>
  <si>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</si>
  <si>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</si>
  <si>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</si>
  <si>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</si>
  <si>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</si>
  <si>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</si>
  <si>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</si>
  <si>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</si>
  <si>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</si>
  <si>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</si>
  <si>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</si>
  <si>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</si>
  <si>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</si>
  <si>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</si>
  <si>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</si>
  <si>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</si>
  <si>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</si>
  <si>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</si>
  <si>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</si>
  <si>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</si>
  <si>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</si>
  <si>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</si>
  <si>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</si>
  <si>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</si>
  <si>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</si>
  <si>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</si>
  <si>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</si>
  <si>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</si>
  <si>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</si>
  <si>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</si>
  <si>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</si>
  <si>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</si>
  <si>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</si>
  <si>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</si>
  <si>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</si>
  <si>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</si>
  <si>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</si>
  <si>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</si>
  <si>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</si>
  <si>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</si>
  <si>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</si>
  <si>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</si>
  <si>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</si>
  <si>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</si>
  <si>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</si>
  <si>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</si>
  <si>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</si>
  <si>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</si>
  <si>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</si>
  <si>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</si>
  <si>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</si>
  <si>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</si>
  <si>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</si>
  <si>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</si>
  <si>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</si>
  <si>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</si>
  <si>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</si>
  <si>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</si>
  <si>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</si>
  <si>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</si>
  <si>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</si>
  <si>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</si>
  <si>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</si>
  <si>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</si>
  <si>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</si>
  <si>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</si>
  <si>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</si>
  <si>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</si>
  <si>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</si>
  <si>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</si>
  <si>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</si>
  <si>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</si>
  <si>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</si>
  <si>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</si>
  <si>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</si>
  <si>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</si>
  <si>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</si>
  <si>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</si>
  <si>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</si>
  <si>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</si>
  <si>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</si>
  <si>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</si>
  <si>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</si>
  <si>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</si>
  <si>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</si>
  <si>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</si>
  <si>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</si>
  <si>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</si>
  <si>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</si>
  <si>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</si>
  <si>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</si>
  <si>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</si>
  <si>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</si>
  <si>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</si>
  <si>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</si>
  <si>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</si>
  <si>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</si>
  <si>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</si>
  <si>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</si>
  <si>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</si>
  <si>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</si>
  <si>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</si>
  <si>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</si>
  <si>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</si>
  <si>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</si>
  <si>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</si>
  <si>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</si>
  <si>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</si>
  <si>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</si>
  <si>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</si>
  <si>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</si>
  <si>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</si>
  <si>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</si>
  <si>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</si>
  <si>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</si>
  <si>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</si>
  <si>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</si>
  <si>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</si>
  <si>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</si>
  <si>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</si>
  <si>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</si>
  <si>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</si>
  <si>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</si>
  <si>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</si>
  <si>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</si>
  <si>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</si>
  <si>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</si>
  <si>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</si>
  <si>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</si>
  <si>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</si>
  <si>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</si>
  <si>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</si>
  <si>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</si>
  <si>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</si>
  <si>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</si>
  <si>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</si>
  <si>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</si>
  <si>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</si>
  <si>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</si>
  <si>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</si>
  <si>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</si>
  <si>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</si>
  <si>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</si>
  <si>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</si>
  <si>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</si>
  <si>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</si>
  <si>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</si>
  <si>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</si>
  <si>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</si>
  <si>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</si>
  <si>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</si>
  <si>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</si>
  <si>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</si>
  <si>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</si>
  <si>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</si>
  <si>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</si>
  <si>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</si>
  <si>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</si>
  <si>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</si>
  <si>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</si>
  <si>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</si>
  <si>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</si>
  <si>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</si>
  <si>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</si>
  <si>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</si>
  <si>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</si>
  <si>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</si>
  <si>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</si>
  <si>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</si>
  <si>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</si>
  <si>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</si>
  <si>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</si>
  <si>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</si>
  <si>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</si>
  <si>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</si>
  <si>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</si>
  <si>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</si>
  <si>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</si>
  <si>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</si>
  <si>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</si>
  <si>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</si>
  <si>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</si>
  <si>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</si>
  <si>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</si>
  <si>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</si>
  <si>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</si>
  <si>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</si>
  <si>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</si>
  <si>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</si>
  <si>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</si>
  <si>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</si>
  <si>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</si>
  <si>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</si>
  <si>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</si>
  <si>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</si>
  <si>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</si>
  <si>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</si>
  <si>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</si>
  <si>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</si>
  <si>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</si>
  <si>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</si>
  <si>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</si>
  <si>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</si>
  <si>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</si>
  <si>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</si>
  <si>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</si>
  <si>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</si>
  <si>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</si>
  <si>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</si>
  <si>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</si>
  <si>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</si>
  <si>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</si>
  <si>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</si>
  <si>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</si>
  <si>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</si>
  <si>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</si>
  <si>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</si>
  <si>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</si>
  <si>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</si>
  <si>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</si>
  <si>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</si>
  <si>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</si>
  <si>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</si>
  <si>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</si>
  <si>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</si>
  <si>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</si>
  <si>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</si>
  <si>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</si>
  <si>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</si>
  <si>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</si>
  <si>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</si>
  <si>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</si>
  <si>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</si>
  <si>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</si>
  <si>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</si>
  <si>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</si>
  <si>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</si>
  <si>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</si>
  <si>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</si>
  <si>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</si>
  <si>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</si>
  <si>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</si>
  <si>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</si>
  <si>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</si>
  <si>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</si>
  <si>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</si>
  <si>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</si>
  <si>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</si>
  <si>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</si>
  <si>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</si>
  <si>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</si>
  <si>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</si>
  <si>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</si>
  <si>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</si>
  <si>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</si>
  <si>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</si>
  <si>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</si>
  <si>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</si>
  <si>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</si>
  <si>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</si>
  <si>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</si>
  <si>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</si>
  <si>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</si>
  <si>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</si>
  <si>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</si>
  <si>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</si>
  <si>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</si>
  <si>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</si>
  <si>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</si>
  <si>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</si>
  <si>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</si>
  <si>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</si>
  <si>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</si>
  <si>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</si>
  <si>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</si>
  <si>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</si>
  <si>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</si>
  <si>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</si>
  <si>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</si>
  <si>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</si>
  <si>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</si>
  <si>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</si>
  <si>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</si>
  <si>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</si>
  <si>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</si>
  <si>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</si>
  <si>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</si>
  <si>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</si>
  <si>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</si>
  <si>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</si>
  <si>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</si>
  <si>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</si>
  <si>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</si>
  <si>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</si>
  <si>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</si>
  <si>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</si>
  <si>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</si>
  <si>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</si>
  <si>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</si>
  <si>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</si>
  <si>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</si>
  <si>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</si>
  <si>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</si>
  <si>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</si>
  <si>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</si>
  <si>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</si>
  <si>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</si>
  <si>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</si>
  <si>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</si>
  <si>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</si>
  <si>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</si>
  <si>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</si>
  <si>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</si>
  <si>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</si>
  <si>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</si>
  <si>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</si>
  <si>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</si>
  <si>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</si>
  <si>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</si>
  <si>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</si>
  <si>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</si>
  <si>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</si>
  <si>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</si>
  <si>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</si>
  <si>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</si>
  <si>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</si>
  <si>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</si>
  <si>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</si>
  <si>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</si>
  <si>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</si>
  <si>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</si>
  <si>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</si>
  <si>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</si>
  <si>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</si>
  <si>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</si>
  <si>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</si>
  <si>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</si>
  <si>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</si>
  <si>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</si>
  <si>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</si>
  <si>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</si>
  <si>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</si>
  <si>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</si>
  <si>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</si>
  <si>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</si>
  <si>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</si>
  <si>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</si>
  <si>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</si>
  <si>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</si>
  <si>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</si>
  <si>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</si>
  <si>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</si>
  <si>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</si>
  <si>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</si>
  <si>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</si>
  <si>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</si>
  <si>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</si>
  <si>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</si>
  <si>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</si>
  <si>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</si>
  <si>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</si>
  <si>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</si>
  <si>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</si>
  <si>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</si>
  <si>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</si>
  <si>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</si>
  <si>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</si>
  <si>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</si>
  <si>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</si>
  <si>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</si>
  <si>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</si>
  <si>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</si>
  <si>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</si>
  <si>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</si>
  <si>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</si>
  <si>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</si>
  <si>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</si>
  <si>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</si>
  <si>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</si>
  <si>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</si>
  <si>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</si>
  <si>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</si>
  <si>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</si>
  <si>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</si>
  <si>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</si>
  <si>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</si>
  <si>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</si>
  <si>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</si>
  <si>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</si>
  <si>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</si>
  <si>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</si>
  <si>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</si>
  <si>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</si>
  <si>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</si>
  <si>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</si>
  <si>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</si>
  <si>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</si>
  <si>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</si>
  <si>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</si>
  <si>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</si>
  <si>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</si>
  <si>
    <t>Field</t>
  </si>
  <si>
    <t>Data Type</t>
  </si>
  <si>
    <t>Row Count</t>
  </si>
  <si>
    <t>Missing</t>
  </si>
  <si>
    <t>% Missing</t>
  </si>
  <si>
    <t>Unique</t>
  </si>
  <si>
    <t>Notes</t>
  </si>
  <si>
    <t>Text</t>
  </si>
  <si>
    <t>Date</t>
  </si>
  <si>
    <t>Number</t>
  </si>
  <si>
    <t>Q1</t>
  </si>
  <si>
    <t>Q3</t>
  </si>
  <si>
    <t>IQR</t>
  </si>
  <si>
    <t>Lower Bound</t>
  </si>
  <si>
    <t>Upper Bound</t>
  </si>
  <si>
    <t># Outliers</t>
  </si>
  <si>
    <t>Percentage</t>
  </si>
  <si>
    <t>Many unusually heavy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</si>
</sst>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D1BB6-CFEA-41BA-A58F-E7C8CF952C03}" name="Shipments" displayName="Shipments" ref="A1:L2001" totalsRowShown="0">
  <autoFilter ref="A1:L2001" xr:uid="{C09D1BB6-CFEA-41BA-A58F-E7C8CF952C03}"/>
  <tableColumns count="12">
    <tableColumn id="1" xr3:uid="{80F6D40A-0FF1-4BAF-8747-816FAA732EF4}" name="Shipment_ID"/>
    <tableColumn id="2" xr3:uid="{41D5B3A7-B1D4-4BBB-AB1A-C10F6005FE71}" name="Origin_Warehouse"/>
    <tableColumn id="3" xr3:uid="{DD988970-3407-44AA-A33A-0F58561457F9}" name="Destination"/>
    <tableColumn id="4" xr3:uid="{A034B343-3442-410F-9022-F4207CB081BD}" name="Carrier"/>
    <tableColumn id="5" xr3:uid="{4728BD21-3F40-4C02-BBCA-6775E406DEB3}" name="Shipment_Date" dataDxfId="1"/>
    <tableColumn id="6" xr3:uid="{BC105FCE-29FF-4E19-B7E5-C9E59B4397AC}" name="Delivery_Date" dataDxfId="0"/>
    <tableColumn id="7" xr3:uid="{5AB1C15C-BAC9-4781-B005-02F46B020E0C}" name="Weight_kg"/>
    <tableColumn id="8" xr3:uid="{7DF290E6-8AFC-484B-9E5E-88CA2A2C721D}" name="Cost"/>
    <tableColumn id="9" xr3:uid="{ECBAB830-0469-42F2-B083-5899CBD7A07B}" name="Status"/>
    <tableColumn id="10" xr3:uid="{C70F70CF-9AE0-4320-874B-A78C447FAAE4}" name="Distance_miles"/>
    <tableColumn id="11" xr3:uid="{ED659460-5AF4-48BC-8DD6-859A144704A3}" name="Transit_Days"/>
    <tableColumn id="12" xr3:uid="{F982F823-DED3-4941-8A72-2D56FB35A824}" name="1. status is delivered so they are errono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6FFC-803A-487D-AFDA-9671B624B4A8}">
  <dimension ref="A1:L2001"/>
  <sheetViews>
    <sheetView tabSelected="1" workbookViewId="0">
      <selection activeCell="L1" sqref="L1"/>
    </sheetView>
  </sheetViews>
  <sheetFormatPr defaultRowHeight="15"/>
  <cols>
    <col min="1" max="1" width="15" bestFit="1" customWidth="1"/>
    <col min="2" max="2" width="20.42578125" bestFit="1" customWidth="1"/>
    <col min="3" max="3" width="13.7109375" bestFit="1" customWidth="1"/>
    <col min="4" max="4" width="16.28515625" bestFit="1" customWidth="1"/>
    <col min="5" max="5" width="17.42578125" bestFit="1" customWidth="1"/>
    <col min="6" max="6" width="16.28515625" bestFit="1" customWidth="1"/>
    <col min="7" max="7" width="13" bestFit="1" customWidth="1"/>
    <col min="9" max="9" width="9.85546875" bestFit="1" customWidth="1"/>
    <col min="10" max="10" width="17" bestFit="1" customWidth="1"/>
    <col min="11" max="11" width="1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45201</v>
      </c>
      <c r="F2" s="1">
        <v>45203</v>
      </c>
      <c r="G2">
        <v>25.7</v>
      </c>
      <c r="H2">
        <v>67.459999999999994</v>
      </c>
      <c r="I2" t="s">
        <v>16</v>
      </c>
      <c r="J2">
        <v>291</v>
      </c>
      <c r="K2">
        <v>2</v>
      </c>
    </row>
    <row r="3" spans="1:12">
      <c r="A3" t="s">
        <v>17</v>
      </c>
      <c r="B3" t="s">
        <v>13</v>
      </c>
      <c r="C3" t="s">
        <v>18</v>
      </c>
      <c r="D3" t="s">
        <v>19</v>
      </c>
      <c r="E3" s="1">
        <v>45266</v>
      </c>
      <c r="F3" s="1">
        <v>45269</v>
      </c>
      <c r="G3">
        <v>38.9</v>
      </c>
      <c r="H3">
        <v>268.85000000000002</v>
      </c>
      <c r="I3" t="s">
        <v>16</v>
      </c>
      <c r="J3">
        <v>1225</v>
      </c>
      <c r="K3">
        <v>3</v>
      </c>
    </row>
    <row r="4" spans="1:12">
      <c r="A4" t="s">
        <v>20</v>
      </c>
      <c r="B4" t="s">
        <v>21</v>
      </c>
      <c r="C4" t="s">
        <v>22</v>
      </c>
      <c r="D4" t="s">
        <v>19</v>
      </c>
      <c r="E4" s="1">
        <v>45187</v>
      </c>
      <c r="F4" s="1">
        <v>45189</v>
      </c>
      <c r="G4">
        <v>37.200000000000003</v>
      </c>
      <c r="H4">
        <v>74.349999999999994</v>
      </c>
      <c r="I4" t="s">
        <v>16</v>
      </c>
      <c r="J4">
        <v>220</v>
      </c>
      <c r="K4">
        <v>2</v>
      </c>
    </row>
    <row r="5" spans="1:12">
      <c r="A5" t="s">
        <v>23</v>
      </c>
      <c r="B5" t="s">
        <v>24</v>
      </c>
      <c r="C5" t="s">
        <v>25</v>
      </c>
      <c r="D5" t="s">
        <v>26</v>
      </c>
      <c r="E5" s="1">
        <v>44952</v>
      </c>
      <c r="F5" s="1">
        <v>44961</v>
      </c>
      <c r="G5">
        <v>42.6</v>
      </c>
      <c r="H5">
        <v>187.04</v>
      </c>
      <c r="I5" t="s">
        <v>16</v>
      </c>
      <c r="J5">
        <v>1156</v>
      </c>
      <c r="K5">
        <v>9</v>
      </c>
    </row>
    <row r="6" spans="1:12">
      <c r="A6" t="s">
        <v>27</v>
      </c>
      <c r="B6" t="s">
        <v>28</v>
      </c>
      <c r="C6" t="s">
        <v>29</v>
      </c>
      <c r="D6" t="s">
        <v>26</v>
      </c>
      <c r="E6" s="1">
        <v>45080</v>
      </c>
      <c r="F6" s="1">
        <v>45083</v>
      </c>
      <c r="G6">
        <v>7.9</v>
      </c>
      <c r="H6">
        <v>120.01</v>
      </c>
      <c r="I6" t="s">
        <v>16</v>
      </c>
      <c r="J6">
        <v>1017</v>
      </c>
      <c r="K6">
        <v>3</v>
      </c>
    </row>
    <row r="7" spans="1:12">
      <c r="A7" t="s">
        <v>30</v>
      </c>
      <c r="B7" t="s">
        <v>31</v>
      </c>
      <c r="C7" t="s">
        <v>32</v>
      </c>
      <c r="D7" t="s">
        <v>33</v>
      </c>
      <c r="E7" s="1">
        <v>45182</v>
      </c>
      <c r="F7" s="1">
        <v>45185</v>
      </c>
      <c r="G7">
        <v>9.1</v>
      </c>
      <c r="H7">
        <v>143.26</v>
      </c>
      <c r="I7" t="s">
        <v>16</v>
      </c>
      <c r="J7">
        <v>898</v>
      </c>
      <c r="K7">
        <v>3</v>
      </c>
    </row>
    <row r="8" spans="1:12">
      <c r="A8" t="s">
        <v>34</v>
      </c>
      <c r="B8" t="s">
        <v>24</v>
      </c>
      <c r="C8" t="s">
        <v>22</v>
      </c>
      <c r="D8" t="s">
        <v>15</v>
      </c>
      <c r="E8" s="1">
        <v>45218</v>
      </c>
      <c r="F8" s="1">
        <v>45222</v>
      </c>
      <c r="G8">
        <v>0.4</v>
      </c>
      <c r="H8">
        <v>225.23</v>
      </c>
      <c r="I8" t="s">
        <v>16</v>
      </c>
      <c r="J8">
        <v>1522</v>
      </c>
      <c r="K8">
        <v>4</v>
      </c>
    </row>
    <row r="9" spans="1:12">
      <c r="A9" t="s">
        <v>35</v>
      </c>
      <c r="B9" t="s">
        <v>36</v>
      </c>
      <c r="C9" t="s">
        <v>37</v>
      </c>
      <c r="D9" t="s">
        <v>38</v>
      </c>
      <c r="E9" s="1">
        <v>44984</v>
      </c>
      <c r="F9" s="1">
        <v>44993</v>
      </c>
      <c r="G9">
        <v>16.7</v>
      </c>
      <c r="H9">
        <v>281.23</v>
      </c>
      <c r="I9" t="s">
        <v>16</v>
      </c>
      <c r="J9">
        <v>2013</v>
      </c>
      <c r="K9">
        <v>9</v>
      </c>
    </row>
    <row r="10" spans="1:12">
      <c r="A10" t="s">
        <v>39</v>
      </c>
      <c r="B10" t="s">
        <v>40</v>
      </c>
      <c r="C10" t="s">
        <v>41</v>
      </c>
      <c r="D10" t="s">
        <v>38</v>
      </c>
      <c r="E10" s="1">
        <v>45254</v>
      </c>
      <c r="F10" s="1">
        <v>45261</v>
      </c>
      <c r="G10">
        <v>15.1</v>
      </c>
      <c r="H10">
        <v>341.93</v>
      </c>
      <c r="I10" t="s">
        <v>16</v>
      </c>
      <c r="J10">
        <v>2072</v>
      </c>
      <c r="K10">
        <v>7</v>
      </c>
    </row>
    <row r="11" spans="1:12">
      <c r="A11" t="s">
        <v>42</v>
      </c>
      <c r="B11" t="s">
        <v>28</v>
      </c>
      <c r="C11" t="s">
        <v>41</v>
      </c>
      <c r="D11" t="s">
        <v>43</v>
      </c>
      <c r="E11" s="1">
        <v>44945</v>
      </c>
      <c r="F11" s="1">
        <v>44947</v>
      </c>
      <c r="G11">
        <v>27.7</v>
      </c>
      <c r="H11">
        <v>55.24</v>
      </c>
      <c r="I11" t="s">
        <v>16</v>
      </c>
      <c r="J11">
        <v>214</v>
      </c>
      <c r="K11">
        <v>2</v>
      </c>
    </row>
    <row r="12" spans="1:12">
      <c r="A12" t="s">
        <v>44</v>
      </c>
      <c r="B12" t="s">
        <v>13</v>
      </c>
      <c r="C12" t="s">
        <v>45</v>
      </c>
      <c r="D12" t="s">
        <v>33</v>
      </c>
      <c r="E12" s="1">
        <v>44959</v>
      </c>
      <c r="F12" s="1">
        <v>44964</v>
      </c>
      <c r="G12">
        <v>7.1</v>
      </c>
      <c r="H12">
        <v>251.53</v>
      </c>
      <c r="I12" t="s">
        <v>16</v>
      </c>
      <c r="J12">
        <v>1736</v>
      </c>
      <c r="K12">
        <v>5</v>
      </c>
    </row>
    <row r="13" spans="1:12">
      <c r="A13" t="s">
        <v>46</v>
      </c>
      <c r="B13" t="s">
        <v>31</v>
      </c>
      <c r="C13" t="s">
        <v>47</v>
      </c>
      <c r="D13" t="s">
        <v>38</v>
      </c>
      <c r="E13" s="1">
        <v>45074</v>
      </c>
      <c r="F13" s="1">
        <v>45081</v>
      </c>
      <c r="G13">
        <v>38.200000000000003</v>
      </c>
      <c r="H13">
        <v>357.12</v>
      </c>
      <c r="I13" t="s">
        <v>48</v>
      </c>
      <c r="J13">
        <v>2366</v>
      </c>
      <c r="K13">
        <v>6</v>
      </c>
    </row>
    <row r="14" spans="1:12">
      <c r="A14" t="s">
        <v>49</v>
      </c>
      <c r="B14" t="s">
        <v>50</v>
      </c>
      <c r="C14" t="s">
        <v>32</v>
      </c>
      <c r="D14" t="s">
        <v>33</v>
      </c>
      <c r="E14" s="1">
        <v>45146</v>
      </c>
      <c r="F14" s="1">
        <v>45151</v>
      </c>
      <c r="G14">
        <v>34.4</v>
      </c>
      <c r="H14">
        <v>121.14</v>
      </c>
      <c r="I14" t="s">
        <v>16</v>
      </c>
      <c r="J14">
        <v>650</v>
      </c>
      <c r="K14">
        <v>5</v>
      </c>
    </row>
    <row r="15" spans="1:12">
      <c r="A15" t="s">
        <v>51</v>
      </c>
      <c r="B15" t="s">
        <v>52</v>
      </c>
      <c r="C15" t="s">
        <v>53</v>
      </c>
      <c r="D15" t="s">
        <v>15</v>
      </c>
      <c r="E15" s="1">
        <v>45288</v>
      </c>
      <c r="F15" s="1">
        <v>45294</v>
      </c>
      <c r="G15">
        <v>20.7</v>
      </c>
      <c r="H15">
        <v>272.48</v>
      </c>
      <c r="I15" t="s">
        <v>16</v>
      </c>
      <c r="J15">
        <v>1574</v>
      </c>
      <c r="K15">
        <v>6</v>
      </c>
    </row>
    <row r="16" spans="1:12">
      <c r="A16" t="s">
        <v>54</v>
      </c>
      <c r="B16" t="s">
        <v>24</v>
      </c>
      <c r="C16" t="s">
        <v>55</v>
      </c>
      <c r="D16" t="s">
        <v>33</v>
      </c>
      <c r="E16" s="1">
        <v>45131</v>
      </c>
      <c r="F16" s="1">
        <v>45137</v>
      </c>
      <c r="G16">
        <v>12.5</v>
      </c>
      <c r="H16">
        <v>266.08</v>
      </c>
      <c r="I16" t="s">
        <v>16</v>
      </c>
      <c r="J16">
        <v>1849</v>
      </c>
      <c r="K16">
        <v>6</v>
      </c>
    </row>
    <row r="17" spans="1:11">
      <c r="A17" t="s">
        <v>56</v>
      </c>
      <c r="B17" t="s">
        <v>57</v>
      </c>
      <c r="C17" t="s">
        <v>58</v>
      </c>
      <c r="D17" t="s">
        <v>26</v>
      </c>
      <c r="E17" s="1">
        <v>45056</v>
      </c>
      <c r="F17" s="1">
        <v>45062</v>
      </c>
      <c r="G17">
        <v>28.6</v>
      </c>
      <c r="H17">
        <v>221.21</v>
      </c>
      <c r="I17" t="s">
        <v>16</v>
      </c>
      <c r="J17">
        <v>1489</v>
      </c>
      <c r="K17">
        <v>6</v>
      </c>
    </row>
    <row r="18" spans="1:11">
      <c r="A18" t="s">
        <v>59</v>
      </c>
      <c r="B18" t="s">
        <v>36</v>
      </c>
      <c r="C18" t="s">
        <v>41</v>
      </c>
      <c r="D18" t="s">
        <v>60</v>
      </c>
      <c r="E18" s="1">
        <v>44951</v>
      </c>
      <c r="F18" s="1">
        <v>44952</v>
      </c>
      <c r="G18">
        <v>24.1</v>
      </c>
      <c r="H18">
        <v>60.27</v>
      </c>
      <c r="I18" t="s">
        <v>61</v>
      </c>
      <c r="J18">
        <v>283</v>
      </c>
      <c r="K18">
        <v>1</v>
      </c>
    </row>
    <row r="19" spans="1:11">
      <c r="A19" t="s">
        <v>62</v>
      </c>
      <c r="B19" t="s">
        <v>21</v>
      </c>
      <c r="C19" t="s">
        <v>14</v>
      </c>
      <c r="D19" t="s">
        <v>26</v>
      </c>
      <c r="E19" s="1">
        <v>45085</v>
      </c>
      <c r="F19" s="1">
        <v>45088</v>
      </c>
      <c r="G19">
        <v>43.2</v>
      </c>
      <c r="H19">
        <v>80.599999999999994</v>
      </c>
      <c r="I19" t="s">
        <v>63</v>
      </c>
      <c r="J19">
        <v>223</v>
      </c>
      <c r="K19">
        <v>3</v>
      </c>
    </row>
    <row r="20" spans="1:11">
      <c r="A20" t="s">
        <v>64</v>
      </c>
      <c r="B20" t="s">
        <v>31</v>
      </c>
      <c r="C20" t="s">
        <v>18</v>
      </c>
      <c r="D20" t="s">
        <v>26</v>
      </c>
      <c r="E20" s="1">
        <v>45215</v>
      </c>
      <c r="F20" s="1">
        <v>45224</v>
      </c>
      <c r="G20">
        <v>6.3</v>
      </c>
      <c r="H20">
        <v>124.52</v>
      </c>
      <c r="I20" t="s">
        <v>16</v>
      </c>
      <c r="J20">
        <v>1055</v>
      </c>
      <c r="K20">
        <v>9</v>
      </c>
    </row>
    <row r="21" spans="1:11">
      <c r="A21" t="s">
        <v>65</v>
      </c>
      <c r="B21" t="s">
        <v>13</v>
      </c>
      <c r="C21" t="s">
        <v>37</v>
      </c>
      <c r="D21" t="s">
        <v>19</v>
      </c>
      <c r="E21" s="1">
        <v>44942</v>
      </c>
      <c r="F21" s="1">
        <v>44947</v>
      </c>
      <c r="G21">
        <v>51.2</v>
      </c>
      <c r="H21">
        <v>290.72000000000003</v>
      </c>
      <c r="I21" t="s">
        <v>16</v>
      </c>
      <c r="J21">
        <v>1660</v>
      </c>
      <c r="K21">
        <v>5</v>
      </c>
    </row>
    <row r="22" spans="1:11">
      <c r="A22" t="s">
        <v>66</v>
      </c>
      <c r="B22" t="s">
        <v>13</v>
      </c>
      <c r="C22" t="s">
        <v>55</v>
      </c>
      <c r="D22" t="s">
        <v>33</v>
      </c>
      <c r="E22" s="1">
        <v>45148</v>
      </c>
      <c r="F22" s="1">
        <v>45118</v>
      </c>
      <c r="G22">
        <v>7.8</v>
      </c>
      <c r="H22">
        <v>216.42</v>
      </c>
      <c r="I22" t="s">
        <v>16</v>
      </c>
      <c r="J22">
        <v>1696</v>
      </c>
      <c r="K22">
        <v>5</v>
      </c>
    </row>
    <row r="23" spans="1:11">
      <c r="A23" t="s">
        <v>67</v>
      </c>
      <c r="B23" t="s">
        <v>50</v>
      </c>
      <c r="C23" t="s">
        <v>22</v>
      </c>
      <c r="D23" t="s">
        <v>43</v>
      </c>
      <c r="E23" s="1">
        <v>45161</v>
      </c>
      <c r="F23" s="1">
        <v>45165</v>
      </c>
      <c r="G23">
        <v>29.6</v>
      </c>
      <c r="H23">
        <v>216.63</v>
      </c>
      <c r="I23" t="s">
        <v>68</v>
      </c>
      <c r="J23">
        <v>1407</v>
      </c>
      <c r="K23">
        <v>4</v>
      </c>
    </row>
    <row r="24" spans="1:11">
      <c r="A24" t="s">
        <v>69</v>
      </c>
      <c r="B24" t="s">
        <v>36</v>
      </c>
      <c r="C24" t="s">
        <v>14</v>
      </c>
      <c r="D24" t="s">
        <v>60</v>
      </c>
      <c r="E24" s="1">
        <v>45128</v>
      </c>
      <c r="F24" s="1">
        <v>45130</v>
      </c>
      <c r="G24">
        <v>15.2</v>
      </c>
      <c r="H24">
        <v>67.11</v>
      </c>
      <c r="I24" t="s">
        <v>16</v>
      </c>
      <c r="J24">
        <v>440</v>
      </c>
      <c r="K24">
        <v>2</v>
      </c>
    </row>
    <row r="25" spans="1:11">
      <c r="A25" t="s">
        <v>70</v>
      </c>
      <c r="B25" t="s">
        <v>50</v>
      </c>
      <c r="C25" t="s">
        <v>71</v>
      </c>
      <c r="D25" t="s">
        <v>19</v>
      </c>
      <c r="E25" s="1">
        <v>45225</v>
      </c>
      <c r="F25" s="1">
        <v>45228</v>
      </c>
      <c r="G25">
        <v>22.2</v>
      </c>
      <c r="H25">
        <v>228.57</v>
      </c>
      <c r="I25" t="s">
        <v>16</v>
      </c>
      <c r="J25">
        <v>1402</v>
      </c>
      <c r="K25">
        <v>3</v>
      </c>
    </row>
    <row r="26" spans="1:11">
      <c r="A26" t="s">
        <v>72</v>
      </c>
      <c r="B26" t="s">
        <v>57</v>
      </c>
      <c r="C26" t="s">
        <v>53</v>
      </c>
      <c r="D26" t="s">
        <v>60</v>
      </c>
      <c r="E26" s="1">
        <v>45149</v>
      </c>
      <c r="F26" s="1">
        <v>45153</v>
      </c>
      <c r="G26">
        <v>5.3</v>
      </c>
      <c r="H26">
        <v>37.32</v>
      </c>
      <c r="I26" t="s">
        <v>16</v>
      </c>
      <c r="J26">
        <v>256</v>
      </c>
      <c r="K26">
        <v>4</v>
      </c>
    </row>
    <row r="27" spans="1:11">
      <c r="A27" t="s">
        <v>73</v>
      </c>
      <c r="B27" t="s">
        <v>52</v>
      </c>
      <c r="C27" t="s">
        <v>37</v>
      </c>
      <c r="D27" t="s">
        <v>15</v>
      </c>
      <c r="E27" s="1">
        <v>45043</v>
      </c>
      <c r="F27" s="1">
        <v>45045</v>
      </c>
      <c r="G27">
        <v>40</v>
      </c>
      <c r="H27">
        <v>124.29</v>
      </c>
      <c r="I27" t="s">
        <v>16</v>
      </c>
      <c r="J27">
        <v>519</v>
      </c>
      <c r="K27">
        <v>2</v>
      </c>
    </row>
    <row r="28" spans="1:11">
      <c r="A28" t="s">
        <v>74</v>
      </c>
      <c r="B28" t="s">
        <v>57</v>
      </c>
      <c r="C28" t="s">
        <v>55</v>
      </c>
      <c r="D28" t="s">
        <v>15</v>
      </c>
      <c r="E28" s="1">
        <v>45290</v>
      </c>
      <c r="F28" s="1">
        <v>45292</v>
      </c>
      <c r="G28">
        <v>8.6999999999999993</v>
      </c>
      <c r="H28">
        <v>73.52</v>
      </c>
      <c r="I28" t="s">
        <v>16</v>
      </c>
      <c r="J28">
        <v>386</v>
      </c>
      <c r="K28">
        <v>2</v>
      </c>
    </row>
    <row r="29" spans="1:11">
      <c r="A29" t="s">
        <v>75</v>
      </c>
      <c r="B29" t="s">
        <v>57</v>
      </c>
      <c r="C29" t="s">
        <v>47</v>
      </c>
      <c r="D29" t="s">
        <v>60</v>
      </c>
      <c r="E29" s="1">
        <v>45290</v>
      </c>
      <c r="F29" s="1">
        <v>45296</v>
      </c>
      <c r="G29">
        <v>10.1</v>
      </c>
      <c r="H29">
        <v>309.58999999999997</v>
      </c>
      <c r="I29" t="s">
        <v>48</v>
      </c>
      <c r="J29">
        <v>1986</v>
      </c>
      <c r="K29">
        <v>5</v>
      </c>
    </row>
    <row r="30" spans="1:11">
      <c r="A30" t="s">
        <v>76</v>
      </c>
      <c r="B30" t="s">
        <v>28</v>
      </c>
      <c r="C30" t="s">
        <v>29</v>
      </c>
      <c r="D30" t="s">
        <v>43</v>
      </c>
      <c r="E30" s="1">
        <v>45275</v>
      </c>
      <c r="F30" s="1">
        <v>45280</v>
      </c>
      <c r="G30">
        <v>22.8</v>
      </c>
      <c r="H30">
        <v>373.64</v>
      </c>
      <c r="I30" t="s">
        <v>16</v>
      </c>
      <c r="J30">
        <v>2229</v>
      </c>
      <c r="K30">
        <v>5</v>
      </c>
    </row>
    <row r="31" spans="1:11">
      <c r="A31" t="s">
        <v>77</v>
      </c>
      <c r="B31" t="s">
        <v>50</v>
      </c>
      <c r="C31" t="s">
        <v>45</v>
      </c>
      <c r="D31" t="s">
        <v>19</v>
      </c>
      <c r="E31" s="1">
        <v>45104</v>
      </c>
      <c r="F31" s="1">
        <v>45110</v>
      </c>
      <c r="G31">
        <v>13</v>
      </c>
      <c r="H31">
        <v>347.94</v>
      </c>
      <c r="I31" t="s">
        <v>16</v>
      </c>
      <c r="J31">
        <v>2310</v>
      </c>
      <c r="K31">
        <v>6</v>
      </c>
    </row>
    <row r="32" spans="1:11">
      <c r="A32" t="s">
        <v>78</v>
      </c>
      <c r="B32" t="s">
        <v>28</v>
      </c>
      <c r="C32" t="s">
        <v>14</v>
      </c>
      <c r="D32" t="s">
        <v>43</v>
      </c>
      <c r="E32" s="1">
        <v>45234</v>
      </c>
      <c r="G32">
        <v>28.5</v>
      </c>
      <c r="H32">
        <v>109.33</v>
      </c>
      <c r="I32" t="s">
        <v>16</v>
      </c>
      <c r="J32">
        <v>502</v>
      </c>
      <c r="K32">
        <v>2</v>
      </c>
    </row>
    <row r="33" spans="1:11">
      <c r="A33" t="s">
        <v>79</v>
      </c>
      <c r="B33" t="s">
        <v>24</v>
      </c>
      <c r="C33" t="s">
        <v>29</v>
      </c>
      <c r="D33" t="s">
        <v>26</v>
      </c>
      <c r="E33" s="1">
        <v>45111</v>
      </c>
      <c r="F33" s="1">
        <v>45115</v>
      </c>
      <c r="G33">
        <v>30.2</v>
      </c>
      <c r="H33">
        <v>162.68</v>
      </c>
      <c r="I33" t="s">
        <v>16</v>
      </c>
      <c r="J33">
        <v>1048</v>
      </c>
      <c r="K33">
        <v>4</v>
      </c>
    </row>
    <row r="34" spans="1:11">
      <c r="A34" t="s">
        <v>80</v>
      </c>
      <c r="B34" t="s">
        <v>36</v>
      </c>
      <c r="C34" t="s">
        <v>32</v>
      </c>
      <c r="D34" t="s">
        <v>33</v>
      </c>
      <c r="E34" s="1">
        <v>45196</v>
      </c>
      <c r="F34" s="1">
        <v>45200</v>
      </c>
      <c r="G34">
        <v>11.3</v>
      </c>
      <c r="H34">
        <v>206.19</v>
      </c>
      <c r="I34" t="s">
        <v>16</v>
      </c>
      <c r="J34">
        <v>1551</v>
      </c>
      <c r="K34">
        <v>4</v>
      </c>
    </row>
    <row r="35" spans="1:11">
      <c r="A35" t="s">
        <v>81</v>
      </c>
      <c r="B35" t="s">
        <v>28</v>
      </c>
      <c r="C35" t="s">
        <v>82</v>
      </c>
      <c r="D35" t="s">
        <v>60</v>
      </c>
      <c r="E35" s="1">
        <v>45011</v>
      </c>
      <c r="F35" s="1">
        <v>45018</v>
      </c>
      <c r="G35">
        <v>15.8</v>
      </c>
      <c r="H35">
        <v>66.349999999999994</v>
      </c>
      <c r="I35" t="s">
        <v>48</v>
      </c>
      <c r="J35">
        <v>431</v>
      </c>
      <c r="K35">
        <v>2</v>
      </c>
    </row>
    <row r="36" spans="1:11">
      <c r="A36" t="s">
        <v>83</v>
      </c>
      <c r="B36" t="s">
        <v>50</v>
      </c>
      <c r="C36" t="s">
        <v>82</v>
      </c>
      <c r="D36" t="s">
        <v>26</v>
      </c>
      <c r="E36" s="1">
        <v>44978</v>
      </c>
      <c r="F36" s="1">
        <v>44980</v>
      </c>
      <c r="G36">
        <v>10.7</v>
      </c>
      <c r="H36">
        <v>76.52</v>
      </c>
      <c r="I36" t="s">
        <v>16</v>
      </c>
      <c r="J36">
        <v>528</v>
      </c>
      <c r="K36">
        <v>2</v>
      </c>
    </row>
    <row r="37" spans="1:11">
      <c r="A37" t="s">
        <v>84</v>
      </c>
      <c r="B37" t="s">
        <v>24</v>
      </c>
      <c r="C37" t="s">
        <v>29</v>
      </c>
      <c r="D37" t="s">
        <v>26</v>
      </c>
      <c r="E37" s="1">
        <v>45123</v>
      </c>
      <c r="F37" s="1">
        <v>45124</v>
      </c>
      <c r="G37">
        <v>37.700000000000003</v>
      </c>
      <c r="H37">
        <v>55.09</v>
      </c>
      <c r="I37" t="s">
        <v>61</v>
      </c>
      <c r="J37">
        <v>131</v>
      </c>
      <c r="K37">
        <v>1</v>
      </c>
    </row>
    <row r="38" spans="1:11">
      <c r="A38" t="s">
        <v>85</v>
      </c>
      <c r="B38" t="s">
        <v>31</v>
      </c>
      <c r="C38" t="s">
        <v>71</v>
      </c>
      <c r="D38" t="s">
        <v>33</v>
      </c>
      <c r="E38" s="1">
        <v>45079</v>
      </c>
      <c r="F38" s="1">
        <v>45095</v>
      </c>
      <c r="G38">
        <v>27.9</v>
      </c>
      <c r="H38">
        <v>123.81</v>
      </c>
      <c r="I38" t="s">
        <v>48</v>
      </c>
      <c r="J38">
        <v>659</v>
      </c>
      <c r="K38">
        <v>3</v>
      </c>
    </row>
    <row r="39" spans="1:11">
      <c r="A39" t="s">
        <v>86</v>
      </c>
      <c r="B39" t="s">
        <v>28</v>
      </c>
      <c r="C39" t="s">
        <v>29</v>
      </c>
      <c r="D39" t="s">
        <v>38</v>
      </c>
      <c r="E39" s="1">
        <v>45236</v>
      </c>
      <c r="F39" s="1">
        <v>45241</v>
      </c>
      <c r="G39">
        <v>26.6</v>
      </c>
      <c r="H39">
        <v>333.35</v>
      </c>
      <c r="I39" t="s">
        <v>16</v>
      </c>
      <c r="J39">
        <v>2209</v>
      </c>
      <c r="K39">
        <v>5</v>
      </c>
    </row>
    <row r="40" spans="1:11">
      <c r="A40" t="s">
        <v>87</v>
      </c>
      <c r="B40" t="s">
        <v>28</v>
      </c>
      <c r="C40" t="s">
        <v>41</v>
      </c>
      <c r="D40" t="s">
        <v>43</v>
      </c>
      <c r="E40" s="1">
        <v>45234</v>
      </c>
      <c r="F40" s="1">
        <v>45240</v>
      </c>
      <c r="G40">
        <v>30.7</v>
      </c>
      <c r="H40">
        <v>282.70999999999998</v>
      </c>
      <c r="I40" t="s">
        <v>68</v>
      </c>
      <c r="J40">
        <v>1674</v>
      </c>
      <c r="K40">
        <v>6</v>
      </c>
    </row>
    <row r="41" spans="1:11">
      <c r="A41" t="s">
        <v>88</v>
      </c>
      <c r="B41" t="s">
        <v>13</v>
      </c>
      <c r="C41" t="s">
        <v>32</v>
      </c>
      <c r="D41" t="s">
        <v>43</v>
      </c>
      <c r="E41" s="1">
        <v>45268</v>
      </c>
      <c r="G41">
        <v>65.2</v>
      </c>
      <c r="H41">
        <v>284.81</v>
      </c>
      <c r="I41" t="s">
        <v>16</v>
      </c>
      <c r="J41">
        <v>1204</v>
      </c>
      <c r="K41">
        <v>3</v>
      </c>
    </row>
    <row r="42" spans="1:11">
      <c r="A42" t="s">
        <v>89</v>
      </c>
      <c r="B42" t="s">
        <v>24</v>
      </c>
      <c r="C42" t="s">
        <v>82</v>
      </c>
      <c r="D42" t="s">
        <v>38</v>
      </c>
      <c r="E42" s="1">
        <v>45203</v>
      </c>
      <c r="F42" s="1">
        <v>45209</v>
      </c>
      <c r="G42">
        <v>13.4</v>
      </c>
      <c r="H42">
        <v>209.01</v>
      </c>
      <c r="I42" t="s">
        <v>16</v>
      </c>
      <c r="J42">
        <v>1550</v>
      </c>
      <c r="K42">
        <v>6</v>
      </c>
    </row>
    <row r="43" spans="1:11">
      <c r="A43" t="s">
        <v>90</v>
      </c>
      <c r="B43" t="s">
        <v>52</v>
      </c>
      <c r="C43" t="s">
        <v>71</v>
      </c>
      <c r="D43" t="s">
        <v>15</v>
      </c>
      <c r="E43" s="1">
        <v>45059</v>
      </c>
      <c r="F43" s="1">
        <v>45063</v>
      </c>
      <c r="G43">
        <v>31.9</v>
      </c>
      <c r="H43">
        <v>263.06</v>
      </c>
      <c r="I43" t="s">
        <v>16</v>
      </c>
      <c r="J43">
        <v>1696</v>
      </c>
      <c r="K43">
        <v>4</v>
      </c>
    </row>
    <row r="44" spans="1:11">
      <c r="A44" t="s">
        <v>91</v>
      </c>
      <c r="B44" t="s">
        <v>52</v>
      </c>
      <c r="C44" t="s">
        <v>71</v>
      </c>
      <c r="D44" t="s">
        <v>60</v>
      </c>
      <c r="E44" s="1">
        <v>45289</v>
      </c>
      <c r="F44" s="1">
        <v>45292</v>
      </c>
      <c r="G44">
        <v>37.799999999999997</v>
      </c>
      <c r="H44">
        <v>129.72999999999999</v>
      </c>
      <c r="I44" t="s">
        <v>16</v>
      </c>
      <c r="J44">
        <v>660</v>
      </c>
      <c r="K44">
        <v>3</v>
      </c>
    </row>
    <row r="45" spans="1:11">
      <c r="A45" t="s">
        <v>92</v>
      </c>
      <c r="B45" t="s">
        <v>50</v>
      </c>
      <c r="C45" t="s">
        <v>32</v>
      </c>
      <c r="D45" t="s">
        <v>19</v>
      </c>
      <c r="E45" s="1">
        <v>44994</v>
      </c>
      <c r="F45" s="1">
        <v>44998</v>
      </c>
      <c r="G45">
        <v>17.399999999999999</v>
      </c>
      <c r="H45">
        <v>194.58</v>
      </c>
      <c r="I45" t="s">
        <v>16</v>
      </c>
      <c r="J45">
        <v>1153</v>
      </c>
      <c r="K45">
        <v>4</v>
      </c>
    </row>
    <row r="46" spans="1:11">
      <c r="A46" t="s">
        <v>93</v>
      </c>
      <c r="B46" t="s">
        <v>36</v>
      </c>
      <c r="C46" t="s">
        <v>14</v>
      </c>
      <c r="D46" t="s">
        <v>26</v>
      </c>
      <c r="E46" s="1">
        <v>45054</v>
      </c>
      <c r="F46" s="1">
        <v>45057</v>
      </c>
      <c r="G46">
        <v>4.7</v>
      </c>
      <c r="H46">
        <v>49.68</v>
      </c>
      <c r="I46" t="s">
        <v>16</v>
      </c>
      <c r="J46">
        <v>343</v>
      </c>
      <c r="K46">
        <v>3</v>
      </c>
    </row>
    <row r="47" spans="1:11">
      <c r="A47" t="s">
        <v>94</v>
      </c>
      <c r="B47" t="s">
        <v>52</v>
      </c>
      <c r="C47" t="s">
        <v>55</v>
      </c>
      <c r="D47" t="s">
        <v>43</v>
      </c>
      <c r="E47" s="1">
        <v>45040</v>
      </c>
      <c r="F47" s="1">
        <v>45045</v>
      </c>
      <c r="G47">
        <v>29.7</v>
      </c>
      <c r="H47">
        <v>245.98</v>
      </c>
      <c r="I47" t="s">
        <v>16</v>
      </c>
      <c r="J47">
        <v>1973</v>
      </c>
      <c r="K47">
        <v>5</v>
      </c>
    </row>
    <row r="48" spans="1:11">
      <c r="A48" t="s">
        <v>95</v>
      </c>
      <c r="B48" t="s">
        <v>21</v>
      </c>
      <c r="C48" t="s">
        <v>71</v>
      </c>
      <c r="D48" t="s">
        <v>19</v>
      </c>
      <c r="E48" s="1">
        <v>45174</v>
      </c>
      <c r="F48" s="1">
        <v>45180</v>
      </c>
      <c r="G48">
        <v>9</v>
      </c>
      <c r="H48">
        <v>356.77</v>
      </c>
      <c r="I48" t="s">
        <v>16</v>
      </c>
      <c r="J48">
        <v>2335</v>
      </c>
      <c r="K48">
        <v>6</v>
      </c>
    </row>
    <row r="49" spans="1:11">
      <c r="A49" t="s">
        <v>96</v>
      </c>
      <c r="B49" t="s">
        <v>28</v>
      </c>
      <c r="C49" t="s">
        <v>29</v>
      </c>
      <c r="D49" t="s">
        <v>60</v>
      </c>
      <c r="E49" s="1">
        <v>44943</v>
      </c>
      <c r="F49" s="1">
        <v>44946</v>
      </c>
      <c r="G49">
        <v>25.4</v>
      </c>
      <c r="H49">
        <v>127.22</v>
      </c>
      <c r="I49" t="s">
        <v>16</v>
      </c>
      <c r="J49">
        <v>816</v>
      </c>
      <c r="K49">
        <v>3</v>
      </c>
    </row>
    <row r="50" spans="1:11">
      <c r="A50" t="s">
        <v>97</v>
      </c>
      <c r="B50" t="s">
        <v>28</v>
      </c>
      <c r="C50" t="s">
        <v>53</v>
      </c>
      <c r="D50" t="s">
        <v>43</v>
      </c>
      <c r="E50" s="1">
        <v>45039</v>
      </c>
      <c r="F50" s="1">
        <v>45046</v>
      </c>
      <c r="G50">
        <v>14.2</v>
      </c>
      <c r="H50">
        <v>248.03</v>
      </c>
      <c r="I50" t="s">
        <v>16</v>
      </c>
      <c r="J50">
        <v>1758</v>
      </c>
      <c r="K50">
        <v>7</v>
      </c>
    </row>
    <row r="51" spans="1:11">
      <c r="A51" t="s">
        <v>98</v>
      </c>
      <c r="B51" t="s">
        <v>13</v>
      </c>
      <c r="C51" t="s">
        <v>47</v>
      </c>
      <c r="D51" t="s">
        <v>15</v>
      </c>
      <c r="E51" s="1">
        <v>44933</v>
      </c>
      <c r="F51" s="1">
        <v>44937</v>
      </c>
      <c r="G51">
        <v>84.1</v>
      </c>
      <c r="H51">
        <v>251.24</v>
      </c>
      <c r="I51" t="s">
        <v>16</v>
      </c>
      <c r="J51">
        <v>1010</v>
      </c>
      <c r="K51">
        <v>4</v>
      </c>
    </row>
    <row r="52" spans="1:11">
      <c r="A52" t="s">
        <v>99</v>
      </c>
      <c r="B52" t="s">
        <v>13</v>
      </c>
      <c r="C52" t="s">
        <v>32</v>
      </c>
      <c r="D52" t="s">
        <v>33</v>
      </c>
      <c r="E52" s="1">
        <v>45144</v>
      </c>
      <c r="F52" s="1">
        <v>45160</v>
      </c>
      <c r="G52">
        <v>29.5</v>
      </c>
      <c r="H52">
        <v>340.07</v>
      </c>
      <c r="I52" t="s">
        <v>48</v>
      </c>
      <c r="J52">
        <v>2396</v>
      </c>
      <c r="K52">
        <v>6</v>
      </c>
    </row>
    <row r="53" spans="1:11">
      <c r="A53" t="s">
        <v>100</v>
      </c>
      <c r="B53" t="s">
        <v>50</v>
      </c>
      <c r="C53" t="s">
        <v>58</v>
      </c>
      <c r="D53" t="s">
        <v>60</v>
      </c>
      <c r="E53" s="1">
        <v>44980</v>
      </c>
      <c r="F53" s="1">
        <v>44985</v>
      </c>
      <c r="G53">
        <v>19.600000000000001</v>
      </c>
      <c r="H53">
        <v>156.03</v>
      </c>
      <c r="I53" t="s">
        <v>16</v>
      </c>
      <c r="J53">
        <v>1267</v>
      </c>
      <c r="K53">
        <v>5</v>
      </c>
    </row>
    <row r="54" spans="1:11">
      <c r="A54" t="s">
        <v>101</v>
      </c>
      <c r="B54" t="s">
        <v>24</v>
      </c>
      <c r="C54" t="s">
        <v>45</v>
      </c>
      <c r="D54" t="s">
        <v>38</v>
      </c>
      <c r="E54" s="1">
        <v>44953</v>
      </c>
      <c r="F54" s="1">
        <v>44958</v>
      </c>
      <c r="G54">
        <v>25.9</v>
      </c>
      <c r="H54">
        <v>206.17</v>
      </c>
      <c r="I54" t="s">
        <v>16</v>
      </c>
      <c r="J54">
        <v>1365</v>
      </c>
      <c r="K54">
        <v>5</v>
      </c>
    </row>
    <row r="55" spans="1:11">
      <c r="A55" t="s">
        <v>102</v>
      </c>
      <c r="B55" t="s">
        <v>24</v>
      </c>
      <c r="C55" t="s">
        <v>29</v>
      </c>
      <c r="D55" t="s">
        <v>15</v>
      </c>
      <c r="E55" s="1">
        <v>44975</v>
      </c>
      <c r="F55" s="1">
        <v>44980</v>
      </c>
      <c r="G55">
        <v>26.6</v>
      </c>
      <c r="H55">
        <v>277.97000000000003</v>
      </c>
      <c r="I55" t="s">
        <v>16</v>
      </c>
      <c r="J55">
        <v>1847</v>
      </c>
      <c r="K55">
        <v>5</v>
      </c>
    </row>
    <row r="56" spans="1:11">
      <c r="A56" t="s">
        <v>103</v>
      </c>
      <c r="B56" t="s">
        <v>57</v>
      </c>
      <c r="C56" t="s">
        <v>58</v>
      </c>
      <c r="D56" t="s">
        <v>43</v>
      </c>
      <c r="E56" s="1">
        <v>45057</v>
      </c>
      <c r="F56" s="1">
        <v>45063</v>
      </c>
      <c r="G56">
        <v>31.6</v>
      </c>
      <c r="H56">
        <v>283.13</v>
      </c>
      <c r="I56" t="s">
        <v>16</v>
      </c>
      <c r="J56">
        <v>2249</v>
      </c>
      <c r="K56">
        <v>6</v>
      </c>
    </row>
    <row r="57" spans="1:11">
      <c r="A57" t="s">
        <v>104</v>
      </c>
      <c r="B57" t="s">
        <v>36</v>
      </c>
      <c r="C57" t="s">
        <v>45</v>
      </c>
      <c r="D57" t="s">
        <v>26</v>
      </c>
      <c r="E57" s="1">
        <v>45196</v>
      </c>
      <c r="F57" s="1">
        <v>45199</v>
      </c>
      <c r="G57">
        <v>24.7</v>
      </c>
      <c r="H57">
        <v>68.63</v>
      </c>
      <c r="I57" t="s">
        <v>16</v>
      </c>
      <c r="J57">
        <v>342</v>
      </c>
      <c r="K57">
        <v>3</v>
      </c>
    </row>
    <row r="58" spans="1:11">
      <c r="A58" t="s">
        <v>105</v>
      </c>
      <c r="B58" t="s">
        <v>28</v>
      </c>
      <c r="C58" t="s">
        <v>58</v>
      </c>
      <c r="D58" t="s">
        <v>43</v>
      </c>
      <c r="E58" s="1">
        <v>45030</v>
      </c>
      <c r="F58" s="1">
        <v>45035</v>
      </c>
      <c r="G58">
        <v>23.2</v>
      </c>
      <c r="H58">
        <v>231.64</v>
      </c>
      <c r="I58" t="s">
        <v>16</v>
      </c>
      <c r="J58">
        <v>1913</v>
      </c>
      <c r="K58">
        <v>5</v>
      </c>
    </row>
    <row r="59" spans="1:11">
      <c r="A59" t="s">
        <v>106</v>
      </c>
      <c r="B59" t="s">
        <v>40</v>
      </c>
      <c r="C59" t="s">
        <v>71</v>
      </c>
      <c r="D59" t="s">
        <v>43</v>
      </c>
      <c r="E59" s="1">
        <v>45225</v>
      </c>
      <c r="F59" s="1">
        <v>45228</v>
      </c>
      <c r="G59">
        <v>6.8</v>
      </c>
      <c r="H59">
        <v>42.06</v>
      </c>
      <c r="I59" t="s">
        <v>61</v>
      </c>
      <c r="J59">
        <v>255</v>
      </c>
      <c r="K59">
        <v>3</v>
      </c>
    </row>
    <row r="60" spans="1:11">
      <c r="A60" t="s">
        <v>107</v>
      </c>
      <c r="B60" t="s">
        <v>28</v>
      </c>
      <c r="C60" t="s">
        <v>71</v>
      </c>
      <c r="D60" t="s">
        <v>60</v>
      </c>
      <c r="E60" s="1">
        <v>45210</v>
      </c>
      <c r="F60" s="1">
        <v>45212</v>
      </c>
      <c r="G60">
        <v>8.9</v>
      </c>
      <c r="H60">
        <v>78.37</v>
      </c>
      <c r="I60" t="s">
        <v>16</v>
      </c>
      <c r="J60">
        <v>600</v>
      </c>
      <c r="K60">
        <v>2</v>
      </c>
    </row>
    <row r="61" spans="1:11">
      <c r="A61" t="s">
        <v>108</v>
      </c>
      <c r="B61" t="s">
        <v>24</v>
      </c>
      <c r="C61" t="s">
        <v>14</v>
      </c>
      <c r="D61" t="s">
        <v>26</v>
      </c>
      <c r="E61" s="1">
        <v>45231</v>
      </c>
      <c r="F61" s="1">
        <v>45236</v>
      </c>
      <c r="G61">
        <v>28.5</v>
      </c>
      <c r="H61">
        <v>128.94</v>
      </c>
      <c r="I61" t="s">
        <v>16</v>
      </c>
      <c r="J61">
        <v>622</v>
      </c>
      <c r="K61">
        <v>5</v>
      </c>
    </row>
    <row r="62" spans="1:11">
      <c r="A62" t="s">
        <v>109</v>
      </c>
      <c r="B62" t="s">
        <v>40</v>
      </c>
      <c r="C62" t="s">
        <v>82</v>
      </c>
      <c r="D62" t="s">
        <v>26</v>
      </c>
      <c r="E62" s="1">
        <v>45209</v>
      </c>
      <c r="F62" s="1">
        <v>45212</v>
      </c>
      <c r="G62">
        <v>59.8</v>
      </c>
      <c r="H62">
        <v>196.89</v>
      </c>
      <c r="I62" t="s">
        <v>16</v>
      </c>
      <c r="J62">
        <v>1030</v>
      </c>
      <c r="K62">
        <v>3</v>
      </c>
    </row>
    <row r="63" spans="1:11">
      <c r="A63" t="s">
        <v>110</v>
      </c>
      <c r="B63" t="s">
        <v>31</v>
      </c>
      <c r="C63" t="s">
        <v>45</v>
      </c>
      <c r="D63" t="s">
        <v>43</v>
      </c>
      <c r="E63" s="1">
        <v>45142</v>
      </c>
      <c r="F63" s="1">
        <v>45145</v>
      </c>
      <c r="G63">
        <v>9.8000000000000007</v>
      </c>
      <c r="H63">
        <v>93.3</v>
      </c>
      <c r="I63" t="s">
        <v>16</v>
      </c>
      <c r="J63">
        <v>708</v>
      </c>
      <c r="K63">
        <v>3</v>
      </c>
    </row>
    <row r="64" spans="1:11">
      <c r="A64" t="s">
        <v>111</v>
      </c>
      <c r="B64" t="s">
        <v>50</v>
      </c>
      <c r="C64" t="s">
        <v>41</v>
      </c>
      <c r="D64" t="s">
        <v>33</v>
      </c>
      <c r="E64" s="1">
        <v>45069</v>
      </c>
      <c r="F64" s="1">
        <v>45087</v>
      </c>
      <c r="G64">
        <v>61.9</v>
      </c>
      <c r="H64">
        <v>316.41000000000003</v>
      </c>
      <c r="I64" t="s">
        <v>48</v>
      </c>
      <c r="J64">
        <v>1914</v>
      </c>
      <c r="K64">
        <v>5</v>
      </c>
    </row>
    <row r="65" spans="1:11">
      <c r="A65" t="s">
        <v>112</v>
      </c>
      <c r="B65" t="s">
        <v>24</v>
      </c>
      <c r="C65" t="s">
        <v>71</v>
      </c>
      <c r="D65" t="s">
        <v>15</v>
      </c>
      <c r="E65" s="1">
        <v>45123</v>
      </c>
      <c r="F65" s="1">
        <v>45126</v>
      </c>
      <c r="G65">
        <v>25.6</v>
      </c>
      <c r="H65">
        <v>128.53</v>
      </c>
      <c r="I65" t="s">
        <v>16</v>
      </c>
      <c r="J65">
        <v>740</v>
      </c>
      <c r="K65">
        <v>3</v>
      </c>
    </row>
    <row r="66" spans="1:11">
      <c r="A66" t="s">
        <v>113</v>
      </c>
      <c r="B66" t="s">
        <v>36</v>
      </c>
      <c r="C66" t="s">
        <v>71</v>
      </c>
      <c r="D66" t="s">
        <v>15</v>
      </c>
      <c r="E66" s="1">
        <v>45212</v>
      </c>
      <c r="F66" s="1">
        <v>45215</v>
      </c>
      <c r="G66">
        <v>67.599999999999994</v>
      </c>
      <c r="H66">
        <v>232.32</v>
      </c>
      <c r="I66" t="s">
        <v>16</v>
      </c>
      <c r="J66">
        <v>1007</v>
      </c>
      <c r="K66">
        <v>3</v>
      </c>
    </row>
    <row r="67" spans="1:11">
      <c r="A67" t="s">
        <v>114</v>
      </c>
      <c r="B67" t="s">
        <v>21</v>
      </c>
      <c r="C67" t="s">
        <v>55</v>
      </c>
      <c r="D67" t="s">
        <v>43</v>
      </c>
      <c r="E67" s="1">
        <v>45039</v>
      </c>
      <c r="F67" s="1">
        <v>45043</v>
      </c>
      <c r="G67">
        <v>50.3</v>
      </c>
      <c r="H67">
        <v>152.13</v>
      </c>
      <c r="I67" t="s">
        <v>16</v>
      </c>
      <c r="J67">
        <v>864</v>
      </c>
      <c r="K67">
        <v>4</v>
      </c>
    </row>
    <row r="68" spans="1:11">
      <c r="A68" t="s">
        <v>115</v>
      </c>
      <c r="B68" t="s">
        <v>28</v>
      </c>
      <c r="C68" t="s">
        <v>55</v>
      </c>
      <c r="D68" t="s">
        <v>38</v>
      </c>
      <c r="E68" s="1">
        <v>45019</v>
      </c>
      <c r="F68" s="1">
        <v>45025</v>
      </c>
      <c r="G68">
        <v>15.9</v>
      </c>
      <c r="H68">
        <v>325.16000000000003</v>
      </c>
      <c r="I68" t="s">
        <v>16</v>
      </c>
      <c r="J68">
        <v>2463</v>
      </c>
      <c r="K68">
        <v>6</v>
      </c>
    </row>
    <row r="69" spans="1:11">
      <c r="A69" t="s">
        <v>116</v>
      </c>
      <c r="B69" t="s">
        <v>50</v>
      </c>
      <c r="C69" t="s">
        <v>25</v>
      </c>
      <c r="D69" t="s">
        <v>19</v>
      </c>
      <c r="E69" s="1">
        <v>45088</v>
      </c>
      <c r="F69" s="1">
        <v>45091</v>
      </c>
      <c r="G69">
        <v>42.3</v>
      </c>
      <c r="H69">
        <v>195.98</v>
      </c>
      <c r="I69" t="s">
        <v>16</v>
      </c>
      <c r="J69">
        <v>998</v>
      </c>
      <c r="K69">
        <v>3</v>
      </c>
    </row>
    <row r="70" spans="1:11">
      <c r="A70" t="s">
        <v>117</v>
      </c>
      <c r="B70" t="s">
        <v>50</v>
      </c>
      <c r="C70" t="s">
        <v>18</v>
      </c>
      <c r="D70" t="s">
        <v>33</v>
      </c>
      <c r="E70" s="1">
        <v>45170</v>
      </c>
      <c r="F70" s="1">
        <v>45178</v>
      </c>
      <c r="G70">
        <v>26.2</v>
      </c>
      <c r="H70">
        <v>261.81</v>
      </c>
      <c r="I70" t="s">
        <v>16</v>
      </c>
      <c r="J70">
        <v>1801</v>
      </c>
      <c r="K70">
        <v>8</v>
      </c>
    </row>
    <row r="71" spans="1:11">
      <c r="A71" t="s">
        <v>118</v>
      </c>
      <c r="B71" t="s">
        <v>50</v>
      </c>
      <c r="C71" t="s">
        <v>22</v>
      </c>
      <c r="D71" t="s">
        <v>33</v>
      </c>
      <c r="E71" s="1">
        <v>45077</v>
      </c>
      <c r="F71" s="1">
        <v>45081</v>
      </c>
      <c r="G71">
        <v>35.700000000000003</v>
      </c>
      <c r="H71">
        <v>180.2</v>
      </c>
      <c r="I71" t="s">
        <v>16</v>
      </c>
      <c r="J71">
        <v>989</v>
      </c>
      <c r="K71">
        <v>4</v>
      </c>
    </row>
    <row r="72" spans="1:11">
      <c r="A72" t="s">
        <v>119</v>
      </c>
      <c r="B72" t="s">
        <v>40</v>
      </c>
      <c r="C72" t="s">
        <v>45</v>
      </c>
      <c r="D72" t="s">
        <v>19</v>
      </c>
      <c r="E72" s="1">
        <v>45033</v>
      </c>
      <c r="F72" s="1">
        <v>45042</v>
      </c>
      <c r="G72">
        <v>6.9</v>
      </c>
      <c r="H72">
        <v>56.51</v>
      </c>
      <c r="I72" t="s">
        <v>48</v>
      </c>
      <c r="J72">
        <v>383</v>
      </c>
      <c r="K72">
        <v>3</v>
      </c>
    </row>
    <row r="73" spans="1:11">
      <c r="A73" t="s">
        <v>120</v>
      </c>
      <c r="B73" t="s">
        <v>36</v>
      </c>
      <c r="C73" t="s">
        <v>25</v>
      </c>
      <c r="D73" t="s">
        <v>26</v>
      </c>
      <c r="E73" s="1">
        <v>45097</v>
      </c>
      <c r="F73" s="1">
        <v>45102</v>
      </c>
      <c r="G73">
        <v>30.7</v>
      </c>
      <c r="I73" t="s">
        <v>16</v>
      </c>
      <c r="J73">
        <v>2307</v>
      </c>
      <c r="K73">
        <v>5</v>
      </c>
    </row>
    <row r="74" spans="1:11">
      <c r="A74" t="s">
        <v>121</v>
      </c>
      <c r="B74" t="s">
        <v>52</v>
      </c>
      <c r="C74" t="s">
        <v>71</v>
      </c>
      <c r="D74" t="s">
        <v>43</v>
      </c>
      <c r="E74" s="1">
        <v>44989</v>
      </c>
      <c r="F74" s="1">
        <v>44998</v>
      </c>
      <c r="G74">
        <v>10.8</v>
      </c>
      <c r="H74">
        <v>225.74</v>
      </c>
      <c r="I74" t="s">
        <v>48</v>
      </c>
      <c r="J74">
        <v>1727</v>
      </c>
      <c r="K74">
        <v>6</v>
      </c>
    </row>
    <row r="75" spans="1:11">
      <c r="A75" t="s">
        <v>122</v>
      </c>
      <c r="B75" t="s">
        <v>21</v>
      </c>
      <c r="C75" t="s">
        <v>25</v>
      </c>
      <c r="D75" t="s">
        <v>60</v>
      </c>
      <c r="E75" s="1">
        <v>45180</v>
      </c>
      <c r="F75" s="1">
        <v>45183</v>
      </c>
      <c r="G75">
        <v>0.6</v>
      </c>
      <c r="H75">
        <v>199.78</v>
      </c>
      <c r="I75" t="s">
        <v>63</v>
      </c>
      <c r="J75">
        <v>1135</v>
      </c>
      <c r="K75">
        <v>3</v>
      </c>
    </row>
    <row r="76" spans="1:11">
      <c r="A76" t="s">
        <v>123</v>
      </c>
      <c r="B76" t="s">
        <v>13</v>
      </c>
      <c r="C76" t="s">
        <v>53</v>
      </c>
      <c r="D76" t="s">
        <v>15</v>
      </c>
      <c r="E76" s="1">
        <v>44984</v>
      </c>
      <c r="F76" s="1">
        <v>44987</v>
      </c>
      <c r="G76">
        <v>93</v>
      </c>
      <c r="H76">
        <v>221.01</v>
      </c>
      <c r="I76" t="s">
        <v>16</v>
      </c>
      <c r="J76">
        <v>757</v>
      </c>
      <c r="K76">
        <v>3</v>
      </c>
    </row>
    <row r="77" spans="1:11">
      <c r="A77" t="s">
        <v>124</v>
      </c>
      <c r="B77" t="s">
        <v>40</v>
      </c>
      <c r="C77" t="s">
        <v>29</v>
      </c>
      <c r="D77" t="s">
        <v>26</v>
      </c>
      <c r="E77" s="1">
        <v>45138</v>
      </c>
      <c r="F77" s="1">
        <v>45142</v>
      </c>
      <c r="G77">
        <v>35.299999999999997</v>
      </c>
      <c r="H77">
        <v>261.49</v>
      </c>
      <c r="I77" t="s">
        <v>16</v>
      </c>
      <c r="J77">
        <v>1673</v>
      </c>
      <c r="K77">
        <v>4</v>
      </c>
    </row>
    <row r="78" spans="1:11">
      <c r="A78" t="s">
        <v>125</v>
      </c>
      <c r="B78" t="s">
        <v>57</v>
      </c>
      <c r="C78" t="s">
        <v>22</v>
      </c>
      <c r="D78" t="s">
        <v>38</v>
      </c>
      <c r="E78" s="1">
        <v>45242</v>
      </c>
      <c r="F78" s="1">
        <v>45243</v>
      </c>
      <c r="G78">
        <v>25.4</v>
      </c>
      <c r="H78">
        <v>85.28</v>
      </c>
      <c r="I78" t="s">
        <v>16</v>
      </c>
      <c r="J78">
        <v>319</v>
      </c>
      <c r="K78">
        <v>1</v>
      </c>
    </row>
    <row r="79" spans="1:11">
      <c r="A79" t="s">
        <v>126</v>
      </c>
      <c r="B79" t="s">
        <v>36</v>
      </c>
      <c r="C79" t="s">
        <v>25</v>
      </c>
      <c r="D79" t="s">
        <v>60</v>
      </c>
      <c r="E79" s="1">
        <v>45138</v>
      </c>
      <c r="F79" s="1">
        <v>45140</v>
      </c>
      <c r="G79">
        <v>20.8</v>
      </c>
      <c r="H79">
        <v>130.21</v>
      </c>
      <c r="I79" t="s">
        <v>61</v>
      </c>
      <c r="J79">
        <v>994</v>
      </c>
      <c r="K79">
        <v>2</v>
      </c>
    </row>
    <row r="80" spans="1:11">
      <c r="A80" t="s">
        <v>127</v>
      </c>
      <c r="B80" t="s">
        <v>21</v>
      </c>
      <c r="C80" t="s">
        <v>37</v>
      </c>
      <c r="D80" t="s">
        <v>15</v>
      </c>
      <c r="E80" s="1">
        <v>45259</v>
      </c>
      <c r="F80" s="1">
        <v>45262</v>
      </c>
      <c r="G80">
        <v>10.9</v>
      </c>
      <c r="H80">
        <v>119.38</v>
      </c>
      <c r="I80" t="s">
        <v>16</v>
      </c>
      <c r="J80">
        <v>612</v>
      </c>
      <c r="K80">
        <v>3</v>
      </c>
    </row>
    <row r="81" spans="1:11">
      <c r="A81" t="s">
        <v>128</v>
      </c>
      <c r="B81" t="s">
        <v>28</v>
      </c>
      <c r="C81" t="s">
        <v>41</v>
      </c>
      <c r="D81" t="s">
        <v>15</v>
      </c>
      <c r="E81" s="1">
        <v>45107</v>
      </c>
      <c r="F81" s="1">
        <v>45117</v>
      </c>
      <c r="G81">
        <v>22.4</v>
      </c>
      <c r="H81">
        <v>309.17</v>
      </c>
      <c r="I81" t="s">
        <v>48</v>
      </c>
      <c r="J81">
        <v>2214</v>
      </c>
      <c r="K81">
        <v>7</v>
      </c>
    </row>
    <row r="82" spans="1:11">
      <c r="A82" t="s">
        <v>129</v>
      </c>
      <c r="B82" t="s">
        <v>21</v>
      </c>
      <c r="C82" t="s">
        <v>71</v>
      </c>
      <c r="D82" t="s">
        <v>43</v>
      </c>
      <c r="E82" s="1">
        <v>45020</v>
      </c>
      <c r="F82" s="1">
        <v>45023</v>
      </c>
      <c r="G82">
        <v>15.1</v>
      </c>
      <c r="H82">
        <v>152.16</v>
      </c>
      <c r="I82" t="s">
        <v>16</v>
      </c>
      <c r="J82">
        <v>1051</v>
      </c>
      <c r="K82">
        <v>3</v>
      </c>
    </row>
    <row r="83" spans="1:11">
      <c r="A83" t="s">
        <v>130</v>
      </c>
      <c r="B83" t="s">
        <v>28</v>
      </c>
      <c r="C83" t="s">
        <v>32</v>
      </c>
      <c r="D83" t="s">
        <v>19</v>
      </c>
      <c r="E83" s="1">
        <v>44999</v>
      </c>
      <c r="F83" s="1">
        <v>45004</v>
      </c>
      <c r="G83">
        <v>22.9</v>
      </c>
      <c r="H83">
        <v>289.37</v>
      </c>
      <c r="I83" t="s">
        <v>16</v>
      </c>
      <c r="J83">
        <v>1714</v>
      </c>
      <c r="K83">
        <v>5</v>
      </c>
    </row>
    <row r="84" spans="1:11">
      <c r="A84" t="s">
        <v>131</v>
      </c>
      <c r="B84" t="s">
        <v>36</v>
      </c>
      <c r="C84" t="s">
        <v>82</v>
      </c>
      <c r="D84" t="s">
        <v>26</v>
      </c>
      <c r="E84" s="1">
        <v>45053</v>
      </c>
      <c r="F84" s="1">
        <v>45055</v>
      </c>
      <c r="G84">
        <v>14.1</v>
      </c>
      <c r="H84">
        <v>144.13999999999999</v>
      </c>
      <c r="I84" t="s">
        <v>16</v>
      </c>
      <c r="J84">
        <v>1000</v>
      </c>
      <c r="K84">
        <v>2</v>
      </c>
    </row>
    <row r="85" spans="1:11">
      <c r="A85" t="s">
        <v>132</v>
      </c>
      <c r="B85" t="s">
        <v>28</v>
      </c>
      <c r="C85" t="s">
        <v>53</v>
      </c>
      <c r="D85" t="s">
        <v>43</v>
      </c>
      <c r="E85" s="1">
        <v>45234</v>
      </c>
      <c r="F85" s="1">
        <v>45242</v>
      </c>
      <c r="G85">
        <v>9.3000000000000007</v>
      </c>
      <c r="H85">
        <v>333.26</v>
      </c>
      <c r="I85" t="s">
        <v>16</v>
      </c>
      <c r="J85">
        <v>2210</v>
      </c>
      <c r="K85">
        <v>8</v>
      </c>
    </row>
    <row r="86" spans="1:11">
      <c r="A86" t="s">
        <v>133</v>
      </c>
      <c r="B86" t="s">
        <v>36</v>
      </c>
      <c r="C86" t="s">
        <v>18</v>
      </c>
      <c r="D86" t="s">
        <v>33</v>
      </c>
      <c r="E86" s="1">
        <v>45109</v>
      </c>
      <c r="F86" s="1">
        <v>45113</v>
      </c>
      <c r="G86">
        <v>22.9</v>
      </c>
      <c r="H86">
        <v>233.89</v>
      </c>
      <c r="I86" t="s">
        <v>16</v>
      </c>
      <c r="J86">
        <v>1510</v>
      </c>
      <c r="K86">
        <v>4</v>
      </c>
    </row>
    <row r="87" spans="1:11">
      <c r="A87" t="s">
        <v>134</v>
      </c>
      <c r="B87" t="s">
        <v>36</v>
      </c>
      <c r="C87" t="s">
        <v>71</v>
      </c>
      <c r="D87" t="s">
        <v>15</v>
      </c>
      <c r="E87" s="1">
        <v>45022</v>
      </c>
      <c r="F87" s="1">
        <v>45028</v>
      </c>
      <c r="G87">
        <v>31.7</v>
      </c>
      <c r="H87">
        <v>282.19</v>
      </c>
      <c r="I87" t="s">
        <v>16</v>
      </c>
      <c r="J87">
        <v>1777</v>
      </c>
      <c r="K87">
        <v>6</v>
      </c>
    </row>
    <row r="88" spans="1:11">
      <c r="A88" t="s">
        <v>135</v>
      </c>
      <c r="B88" t="s">
        <v>50</v>
      </c>
      <c r="C88" t="s">
        <v>58</v>
      </c>
      <c r="D88" t="s">
        <v>19</v>
      </c>
      <c r="E88" s="1">
        <v>45252</v>
      </c>
      <c r="F88" s="1">
        <v>45259</v>
      </c>
      <c r="G88">
        <v>13.5</v>
      </c>
      <c r="H88">
        <v>422.32</v>
      </c>
      <c r="I88" t="s">
        <v>16</v>
      </c>
      <c r="J88">
        <v>2388</v>
      </c>
      <c r="K88">
        <v>7</v>
      </c>
    </row>
    <row r="89" spans="1:11">
      <c r="A89" t="s">
        <v>136</v>
      </c>
      <c r="B89" t="s">
        <v>36</v>
      </c>
      <c r="C89" t="s">
        <v>45</v>
      </c>
      <c r="D89" t="s">
        <v>26</v>
      </c>
      <c r="E89" s="1">
        <v>45251</v>
      </c>
      <c r="F89" s="1">
        <v>45260</v>
      </c>
      <c r="G89">
        <v>17.100000000000001</v>
      </c>
      <c r="H89">
        <v>214.99</v>
      </c>
      <c r="I89" t="s">
        <v>48</v>
      </c>
      <c r="J89">
        <v>1284</v>
      </c>
      <c r="K89">
        <v>4</v>
      </c>
    </row>
    <row r="90" spans="1:11">
      <c r="A90" t="s">
        <v>137</v>
      </c>
      <c r="B90" t="s">
        <v>40</v>
      </c>
      <c r="C90" t="s">
        <v>55</v>
      </c>
      <c r="D90" t="s">
        <v>60</v>
      </c>
      <c r="E90" s="1">
        <v>45098</v>
      </c>
      <c r="F90" s="1">
        <v>45101</v>
      </c>
      <c r="G90">
        <v>37</v>
      </c>
      <c r="H90">
        <v>184.07</v>
      </c>
      <c r="I90" t="s">
        <v>16</v>
      </c>
      <c r="J90">
        <v>1198</v>
      </c>
      <c r="K90">
        <v>3</v>
      </c>
    </row>
    <row r="91" spans="1:11">
      <c r="A91" t="s">
        <v>138</v>
      </c>
      <c r="B91" t="s">
        <v>52</v>
      </c>
      <c r="C91" t="s">
        <v>37</v>
      </c>
      <c r="D91" t="s">
        <v>43</v>
      </c>
      <c r="E91" s="1">
        <v>45240</v>
      </c>
      <c r="F91" s="1">
        <v>45244</v>
      </c>
      <c r="G91">
        <v>127.8</v>
      </c>
      <c r="H91">
        <v>247.54</v>
      </c>
      <c r="I91" t="s">
        <v>16</v>
      </c>
      <c r="J91">
        <v>1482</v>
      </c>
      <c r="K91">
        <v>4</v>
      </c>
    </row>
    <row r="92" spans="1:11">
      <c r="A92" t="s">
        <v>139</v>
      </c>
      <c r="B92" t="s">
        <v>13</v>
      </c>
      <c r="C92" t="s">
        <v>45</v>
      </c>
      <c r="D92" t="s">
        <v>26</v>
      </c>
      <c r="E92" s="1">
        <v>44953</v>
      </c>
      <c r="F92" s="1">
        <v>44955</v>
      </c>
      <c r="G92">
        <v>10.8</v>
      </c>
      <c r="H92">
        <v>83.32</v>
      </c>
      <c r="I92" t="s">
        <v>68</v>
      </c>
      <c r="J92">
        <v>530</v>
      </c>
      <c r="K92">
        <v>2</v>
      </c>
    </row>
    <row r="93" spans="1:11">
      <c r="A93" t="s">
        <v>140</v>
      </c>
      <c r="B93" t="s">
        <v>31</v>
      </c>
      <c r="C93" t="s">
        <v>71</v>
      </c>
      <c r="D93" t="s">
        <v>38</v>
      </c>
      <c r="E93" s="1">
        <v>45258</v>
      </c>
      <c r="F93" s="1">
        <v>45269</v>
      </c>
      <c r="G93">
        <v>8.5</v>
      </c>
      <c r="H93">
        <v>151.63999999999999</v>
      </c>
      <c r="I93" t="s">
        <v>48</v>
      </c>
      <c r="J93">
        <v>920</v>
      </c>
      <c r="K93">
        <v>4</v>
      </c>
    </row>
    <row r="94" spans="1:11">
      <c r="A94" t="s">
        <v>141</v>
      </c>
      <c r="B94" t="s">
        <v>57</v>
      </c>
      <c r="C94" t="s">
        <v>71</v>
      </c>
      <c r="D94" t="s">
        <v>43</v>
      </c>
      <c r="E94" s="1">
        <v>45042</v>
      </c>
      <c r="F94" s="1">
        <v>45047</v>
      </c>
      <c r="G94">
        <v>16</v>
      </c>
      <c r="H94">
        <v>277.61</v>
      </c>
      <c r="I94" t="s">
        <v>16</v>
      </c>
      <c r="J94">
        <v>1950</v>
      </c>
      <c r="K94">
        <v>5</v>
      </c>
    </row>
    <row r="95" spans="1:11">
      <c r="A95" t="s">
        <v>142</v>
      </c>
      <c r="B95" t="s">
        <v>13</v>
      </c>
      <c r="C95" t="s">
        <v>22</v>
      </c>
      <c r="D95" t="s">
        <v>15</v>
      </c>
      <c r="E95" s="1">
        <v>44988</v>
      </c>
      <c r="F95" s="1">
        <v>44993</v>
      </c>
      <c r="G95">
        <v>32.9</v>
      </c>
      <c r="H95">
        <v>337.04</v>
      </c>
      <c r="I95" t="s">
        <v>16</v>
      </c>
      <c r="J95">
        <v>2233</v>
      </c>
      <c r="K95">
        <v>5</v>
      </c>
    </row>
    <row r="96" spans="1:11">
      <c r="A96" t="s">
        <v>143</v>
      </c>
      <c r="B96" t="s">
        <v>31</v>
      </c>
      <c r="C96" t="s">
        <v>14</v>
      </c>
      <c r="D96" t="s">
        <v>26</v>
      </c>
      <c r="E96" s="1">
        <v>45033</v>
      </c>
      <c r="F96" s="1">
        <v>45040</v>
      </c>
      <c r="G96">
        <v>29.5</v>
      </c>
      <c r="H96">
        <v>167.82</v>
      </c>
      <c r="I96" t="s">
        <v>16</v>
      </c>
      <c r="J96">
        <v>1022</v>
      </c>
      <c r="K96">
        <v>7</v>
      </c>
    </row>
    <row r="97" spans="1:11">
      <c r="A97" t="s">
        <v>144</v>
      </c>
      <c r="B97" t="s">
        <v>13</v>
      </c>
      <c r="C97" t="s">
        <v>41</v>
      </c>
      <c r="D97" t="s">
        <v>38</v>
      </c>
      <c r="E97" s="1">
        <v>45108</v>
      </c>
      <c r="F97" s="1">
        <v>45111</v>
      </c>
      <c r="G97">
        <v>18.600000000000001</v>
      </c>
      <c r="H97">
        <v>191.08</v>
      </c>
      <c r="I97" t="s">
        <v>16</v>
      </c>
      <c r="J97">
        <v>1447</v>
      </c>
      <c r="K97">
        <v>3</v>
      </c>
    </row>
    <row r="98" spans="1:11">
      <c r="A98" t="s">
        <v>145</v>
      </c>
      <c r="B98" t="s">
        <v>13</v>
      </c>
      <c r="C98" t="s">
        <v>18</v>
      </c>
      <c r="D98" t="s">
        <v>19</v>
      </c>
      <c r="E98" s="1">
        <v>45158</v>
      </c>
      <c r="F98" s="1">
        <v>45159</v>
      </c>
      <c r="G98">
        <v>9.6</v>
      </c>
      <c r="H98">
        <v>42.77</v>
      </c>
      <c r="I98" t="s">
        <v>16</v>
      </c>
      <c r="J98">
        <v>241</v>
      </c>
      <c r="K98">
        <v>1</v>
      </c>
    </row>
    <row r="99" spans="1:11">
      <c r="A99" t="s">
        <v>146</v>
      </c>
      <c r="B99" t="s">
        <v>13</v>
      </c>
      <c r="C99" t="s">
        <v>18</v>
      </c>
      <c r="D99" t="s">
        <v>38</v>
      </c>
      <c r="E99" s="1">
        <v>45188</v>
      </c>
      <c r="G99">
        <v>80.400000000000006</v>
      </c>
      <c r="H99">
        <v>259.98</v>
      </c>
      <c r="I99" t="s">
        <v>16</v>
      </c>
      <c r="J99">
        <v>1554</v>
      </c>
      <c r="K99">
        <v>5</v>
      </c>
    </row>
    <row r="100" spans="1:11">
      <c r="A100" t="s">
        <v>147</v>
      </c>
      <c r="B100" t="s">
        <v>24</v>
      </c>
      <c r="C100" t="s">
        <v>55</v>
      </c>
      <c r="D100" t="s">
        <v>26</v>
      </c>
      <c r="E100" s="1">
        <v>45056</v>
      </c>
      <c r="F100" s="1">
        <v>45061</v>
      </c>
      <c r="G100">
        <v>11.1</v>
      </c>
      <c r="H100">
        <v>273.63</v>
      </c>
      <c r="I100" t="s">
        <v>16</v>
      </c>
      <c r="J100">
        <v>2053</v>
      </c>
      <c r="K100">
        <v>5</v>
      </c>
    </row>
    <row r="101" spans="1:11">
      <c r="A101" t="s">
        <v>148</v>
      </c>
      <c r="B101" t="s">
        <v>50</v>
      </c>
      <c r="C101" t="s">
        <v>53</v>
      </c>
      <c r="D101" t="s">
        <v>43</v>
      </c>
      <c r="E101" s="1">
        <v>45125</v>
      </c>
      <c r="F101" s="1">
        <v>45128</v>
      </c>
      <c r="G101">
        <v>14.6</v>
      </c>
      <c r="H101">
        <v>141.34</v>
      </c>
      <c r="I101" t="s">
        <v>16</v>
      </c>
      <c r="J101">
        <v>1158</v>
      </c>
      <c r="K101">
        <v>3</v>
      </c>
    </row>
    <row r="102" spans="1:11">
      <c r="A102" t="s">
        <v>149</v>
      </c>
      <c r="B102" t="s">
        <v>36</v>
      </c>
      <c r="C102" t="s">
        <v>18</v>
      </c>
      <c r="D102" t="s">
        <v>38</v>
      </c>
      <c r="E102" s="1">
        <v>45026</v>
      </c>
      <c r="F102" s="1">
        <v>45033</v>
      </c>
      <c r="G102">
        <v>11.9</v>
      </c>
      <c r="H102">
        <v>277.05</v>
      </c>
      <c r="I102" t="s">
        <v>16</v>
      </c>
      <c r="J102">
        <v>2109</v>
      </c>
      <c r="K102">
        <v>7</v>
      </c>
    </row>
    <row r="103" spans="1:11">
      <c r="A103" t="s">
        <v>150</v>
      </c>
      <c r="B103" t="s">
        <v>57</v>
      </c>
      <c r="C103" t="s">
        <v>55</v>
      </c>
      <c r="D103" t="s">
        <v>43</v>
      </c>
      <c r="E103" s="1">
        <v>45166</v>
      </c>
      <c r="F103" s="1">
        <v>45168</v>
      </c>
      <c r="G103">
        <v>51</v>
      </c>
      <c r="I103" t="s">
        <v>16</v>
      </c>
      <c r="J103">
        <v>179</v>
      </c>
      <c r="K103">
        <v>2</v>
      </c>
    </row>
    <row r="104" spans="1:11">
      <c r="A104" t="s">
        <v>151</v>
      </c>
      <c r="B104" t="s">
        <v>24</v>
      </c>
      <c r="C104" t="s">
        <v>22</v>
      </c>
      <c r="D104" t="s">
        <v>19</v>
      </c>
      <c r="E104" s="1">
        <v>45124</v>
      </c>
      <c r="F104" s="1">
        <v>45131</v>
      </c>
      <c r="G104">
        <v>8.6</v>
      </c>
      <c r="H104">
        <v>352.85</v>
      </c>
      <c r="I104" t="s">
        <v>16</v>
      </c>
      <c r="J104">
        <v>2465</v>
      </c>
      <c r="K104">
        <v>7</v>
      </c>
    </row>
    <row r="105" spans="1:11">
      <c r="A105" t="s">
        <v>152</v>
      </c>
      <c r="B105" t="s">
        <v>24</v>
      </c>
      <c r="C105" t="s">
        <v>32</v>
      </c>
      <c r="D105" t="s">
        <v>38</v>
      </c>
      <c r="E105" s="1">
        <v>44940</v>
      </c>
      <c r="F105" s="1">
        <v>44951</v>
      </c>
      <c r="G105">
        <v>6.3</v>
      </c>
      <c r="H105">
        <v>283.56</v>
      </c>
      <c r="I105" t="s">
        <v>16</v>
      </c>
      <c r="J105">
        <v>2366</v>
      </c>
      <c r="K105">
        <v>11</v>
      </c>
    </row>
    <row r="106" spans="1:11">
      <c r="A106" t="s">
        <v>153</v>
      </c>
      <c r="B106" t="s">
        <v>50</v>
      </c>
      <c r="C106" t="s">
        <v>32</v>
      </c>
      <c r="D106" t="s">
        <v>33</v>
      </c>
      <c r="E106" s="1">
        <v>45273</v>
      </c>
      <c r="F106" s="1">
        <v>45276</v>
      </c>
      <c r="G106">
        <v>16.600000000000001</v>
      </c>
      <c r="H106">
        <v>121.29</v>
      </c>
      <c r="I106" t="s">
        <v>16</v>
      </c>
      <c r="J106">
        <v>543</v>
      </c>
      <c r="K106">
        <v>3</v>
      </c>
    </row>
    <row r="107" spans="1:11">
      <c r="A107" t="s">
        <v>154</v>
      </c>
      <c r="B107" t="s">
        <v>13</v>
      </c>
      <c r="C107" t="s">
        <v>32</v>
      </c>
      <c r="D107" t="s">
        <v>19</v>
      </c>
      <c r="E107" s="1">
        <v>45039</v>
      </c>
      <c r="F107" s="1">
        <v>45052</v>
      </c>
      <c r="G107">
        <v>40.700000000000003</v>
      </c>
      <c r="H107">
        <v>270.27</v>
      </c>
      <c r="I107" t="s">
        <v>48</v>
      </c>
      <c r="J107">
        <v>1682</v>
      </c>
      <c r="K107">
        <v>6</v>
      </c>
    </row>
    <row r="108" spans="1:11">
      <c r="A108" t="s">
        <v>155</v>
      </c>
      <c r="B108" t="s">
        <v>40</v>
      </c>
      <c r="C108" t="s">
        <v>82</v>
      </c>
      <c r="D108" t="s">
        <v>26</v>
      </c>
      <c r="E108" s="1">
        <v>45157</v>
      </c>
      <c r="F108" s="1">
        <v>45160</v>
      </c>
      <c r="G108">
        <v>22.6</v>
      </c>
      <c r="H108">
        <v>149.52000000000001</v>
      </c>
      <c r="I108" t="s">
        <v>16</v>
      </c>
      <c r="J108">
        <v>1030</v>
      </c>
      <c r="K108">
        <v>3</v>
      </c>
    </row>
    <row r="109" spans="1:11">
      <c r="A109" t="s">
        <v>156</v>
      </c>
      <c r="B109" t="s">
        <v>52</v>
      </c>
      <c r="C109" t="s">
        <v>45</v>
      </c>
      <c r="D109" t="s">
        <v>15</v>
      </c>
      <c r="E109" s="1">
        <v>45137</v>
      </c>
      <c r="F109" s="1">
        <v>45140</v>
      </c>
      <c r="G109">
        <v>44.3</v>
      </c>
      <c r="H109">
        <v>140.74</v>
      </c>
      <c r="I109" t="s">
        <v>16</v>
      </c>
      <c r="J109">
        <v>790</v>
      </c>
      <c r="K109">
        <v>3</v>
      </c>
    </row>
    <row r="110" spans="1:11">
      <c r="A110" t="s">
        <v>157</v>
      </c>
      <c r="B110" t="s">
        <v>13</v>
      </c>
      <c r="C110" t="s">
        <v>58</v>
      </c>
      <c r="D110" t="s">
        <v>43</v>
      </c>
      <c r="E110" s="1">
        <v>45153</v>
      </c>
      <c r="F110" s="1">
        <v>45157</v>
      </c>
      <c r="G110">
        <v>12.8</v>
      </c>
      <c r="H110">
        <v>198.31</v>
      </c>
      <c r="I110" t="s">
        <v>16</v>
      </c>
      <c r="J110">
        <v>1534</v>
      </c>
      <c r="K110">
        <v>4</v>
      </c>
    </row>
    <row r="111" spans="1:11">
      <c r="A111" t="s">
        <v>158</v>
      </c>
      <c r="B111" t="s">
        <v>57</v>
      </c>
      <c r="C111" t="s">
        <v>53</v>
      </c>
      <c r="D111" t="s">
        <v>43</v>
      </c>
      <c r="E111" s="1">
        <v>45273</v>
      </c>
      <c r="G111">
        <v>16.5</v>
      </c>
      <c r="H111">
        <v>73.12</v>
      </c>
      <c r="I111" t="s">
        <v>16</v>
      </c>
      <c r="J111">
        <v>371</v>
      </c>
      <c r="K111">
        <v>2</v>
      </c>
    </row>
    <row r="112" spans="1:11">
      <c r="A112" t="s">
        <v>159</v>
      </c>
      <c r="B112" t="s">
        <v>36</v>
      </c>
      <c r="C112" t="s">
        <v>22</v>
      </c>
      <c r="D112" t="s">
        <v>19</v>
      </c>
      <c r="E112" s="1">
        <v>45191</v>
      </c>
      <c r="F112" s="1">
        <v>45198</v>
      </c>
      <c r="G112">
        <v>46.1</v>
      </c>
      <c r="H112">
        <v>409.06</v>
      </c>
      <c r="I112" t="s">
        <v>16</v>
      </c>
      <c r="J112">
        <v>2306</v>
      </c>
      <c r="K112">
        <v>7</v>
      </c>
    </row>
    <row r="113" spans="1:11">
      <c r="A113" t="s">
        <v>160</v>
      </c>
      <c r="B113" t="s">
        <v>28</v>
      </c>
      <c r="C113" t="s">
        <v>32</v>
      </c>
      <c r="D113" t="s">
        <v>33</v>
      </c>
      <c r="E113" s="1">
        <v>45070</v>
      </c>
      <c r="F113" s="1">
        <v>45075</v>
      </c>
      <c r="G113">
        <v>19.2</v>
      </c>
      <c r="H113">
        <v>273.26</v>
      </c>
      <c r="I113" t="s">
        <v>16</v>
      </c>
      <c r="J113">
        <v>1810</v>
      </c>
      <c r="K113">
        <v>5</v>
      </c>
    </row>
    <row r="114" spans="1:11">
      <c r="A114" t="s">
        <v>161</v>
      </c>
      <c r="B114" t="s">
        <v>40</v>
      </c>
      <c r="C114" t="s">
        <v>45</v>
      </c>
      <c r="D114" t="s">
        <v>38</v>
      </c>
      <c r="E114" s="1">
        <v>44959</v>
      </c>
      <c r="F114" s="1">
        <v>44973</v>
      </c>
      <c r="G114">
        <v>7.6</v>
      </c>
      <c r="H114">
        <v>41.42</v>
      </c>
      <c r="I114" t="s">
        <v>48</v>
      </c>
      <c r="J114">
        <v>277</v>
      </c>
      <c r="K114">
        <v>2</v>
      </c>
    </row>
    <row r="115" spans="1:11">
      <c r="A115" t="s">
        <v>162</v>
      </c>
      <c r="B115" t="s">
        <v>36</v>
      </c>
      <c r="C115" t="s">
        <v>45</v>
      </c>
      <c r="D115" t="s">
        <v>60</v>
      </c>
      <c r="E115" s="1">
        <v>45084</v>
      </c>
      <c r="F115" s="1">
        <v>45090</v>
      </c>
      <c r="G115">
        <v>38.1</v>
      </c>
      <c r="H115">
        <v>272.16000000000003</v>
      </c>
      <c r="I115" t="s">
        <v>16</v>
      </c>
      <c r="J115">
        <v>1953</v>
      </c>
      <c r="K115">
        <v>6</v>
      </c>
    </row>
    <row r="116" spans="1:11">
      <c r="A116" t="s">
        <v>163</v>
      </c>
      <c r="B116" t="s">
        <v>28</v>
      </c>
      <c r="C116" t="s">
        <v>71</v>
      </c>
      <c r="D116" t="s">
        <v>33</v>
      </c>
      <c r="E116" s="1">
        <v>45019</v>
      </c>
      <c r="F116" s="1">
        <v>44989</v>
      </c>
      <c r="G116">
        <v>23.2</v>
      </c>
      <c r="H116">
        <v>270.43</v>
      </c>
      <c r="I116" t="s">
        <v>16</v>
      </c>
      <c r="J116">
        <v>1800</v>
      </c>
      <c r="K116">
        <v>4</v>
      </c>
    </row>
    <row r="117" spans="1:11">
      <c r="A117" t="s">
        <v>164</v>
      </c>
      <c r="B117" t="s">
        <v>52</v>
      </c>
      <c r="C117" t="s">
        <v>37</v>
      </c>
      <c r="D117" t="s">
        <v>43</v>
      </c>
      <c r="E117" s="1">
        <v>45127</v>
      </c>
      <c r="F117" s="1">
        <v>45132</v>
      </c>
      <c r="G117">
        <v>22.8</v>
      </c>
      <c r="H117">
        <v>267.89</v>
      </c>
      <c r="I117" t="s">
        <v>16</v>
      </c>
      <c r="J117">
        <v>1951</v>
      </c>
      <c r="K117">
        <v>5</v>
      </c>
    </row>
    <row r="118" spans="1:11">
      <c r="A118" t="s">
        <v>165</v>
      </c>
      <c r="B118" t="s">
        <v>24</v>
      </c>
      <c r="C118" t="s">
        <v>22</v>
      </c>
      <c r="D118" t="s">
        <v>33</v>
      </c>
      <c r="E118" s="1">
        <v>44931</v>
      </c>
      <c r="F118" s="1">
        <v>44938</v>
      </c>
      <c r="G118">
        <v>18.8</v>
      </c>
      <c r="H118">
        <v>249.35</v>
      </c>
      <c r="I118" t="s">
        <v>16</v>
      </c>
      <c r="J118">
        <v>1744</v>
      </c>
      <c r="K118">
        <v>7</v>
      </c>
    </row>
    <row r="119" spans="1:11">
      <c r="A119" t="s">
        <v>166</v>
      </c>
      <c r="B119" t="s">
        <v>36</v>
      </c>
      <c r="C119" t="s">
        <v>58</v>
      </c>
      <c r="D119" t="s">
        <v>38</v>
      </c>
      <c r="E119" s="1">
        <v>45064</v>
      </c>
      <c r="F119" s="1">
        <v>45068</v>
      </c>
      <c r="G119">
        <v>14</v>
      </c>
      <c r="H119">
        <v>171.55</v>
      </c>
      <c r="I119" t="s">
        <v>16</v>
      </c>
      <c r="J119">
        <v>1323</v>
      </c>
      <c r="K119">
        <v>4</v>
      </c>
    </row>
    <row r="120" spans="1:11">
      <c r="A120" t="s">
        <v>167</v>
      </c>
      <c r="B120" t="s">
        <v>57</v>
      </c>
      <c r="C120" t="s">
        <v>82</v>
      </c>
      <c r="D120" t="s">
        <v>26</v>
      </c>
      <c r="E120" s="1">
        <v>45009</v>
      </c>
      <c r="F120" s="1">
        <v>45017</v>
      </c>
      <c r="G120">
        <v>17.600000000000001</v>
      </c>
      <c r="H120">
        <v>215.18</v>
      </c>
      <c r="I120" t="s">
        <v>48</v>
      </c>
      <c r="J120">
        <v>1646</v>
      </c>
      <c r="K120">
        <v>4</v>
      </c>
    </row>
    <row r="121" spans="1:11">
      <c r="A121" t="s">
        <v>168</v>
      </c>
      <c r="B121" t="s">
        <v>57</v>
      </c>
      <c r="C121" t="s">
        <v>58</v>
      </c>
      <c r="D121" t="s">
        <v>19</v>
      </c>
      <c r="E121" s="1">
        <v>45117</v>
      </c>
      <c r="F121" s="1">
        <v>45118</v>
      </c>
      <c r="G121">
        <v>21.6</v>
      </c>
      <c r="H121">
        <v>64.739999999999995</v>
      </c>
      <c r="I121" t="s">
        <v>16</v>
      </c>
      <c r="J121">
        <v>261</v>
      </c>
      <c r="K121">
        <v>1</v>
      </c>
    </row>
    <row r="122" spans="1:11">
      <c r="A122" t="s">
        <v>169</v>
      </c>
      <c r="B122" t="s">
        <v>50</v>
      </c>
      <c r="C122" t="s">
        <v>82</v>
      </c>
      <c r="D122" t="s">
        <v>38</v>
      </c>
      <c r="E122" s="1">
        <v>45195</v>
      </c>
      <c r="F122" s="1">
        <v>45201</v>
      </c>
      <c r="G122">
        <v>8.1999999999999993</v>
      </c>
      <c r="H122">
        <v>278.33999999999997</v>
      </c>
      <c r="I122" t="s">
        <v>16</v>
      </c>
      <c r="J122">
        <v>2330</v>
      </c>
      <c r="K122">
        <v>6</v>
      </c>
    </row>
    <row r="123" spans="1:11">
      <c r="A123" t="s">
        <v>170</v>
      </c>
      <c r="B123" t="s">
        <v>36</v>
      </c>
      <c r="C123" t="s">
        <v>22</v>
      </c>
      <c r="D123" t="s">
        <v>33</v>
      </c>
      <c r="E123" s="1">
        <v>44991</v>
      </c>
      <c r="F123" s="1">
        <v>44996</v>
      </c>
      <c r="G123">
        <v>25.1</v>
      </c>
      <c r="H123">
        <v>165.41</v>
      </c>
      <c r="I123" t="s">
        <v>16</v>
      </c>
      <c r="J123">
        <v>973</v>
      </c>
      <c r="K123">
        <v>5</v>
      </c>
    </row>
    <row r="124" spans="1:11">
      <c r="A124" t="s">
        <v>171</v>
      </c>
      <c r="B124" t="s">
        <v>40</v>
      </c>
      <c r="C124" t="s">
        <v>32</v>
      </c>
      <c r="D124" t="s">
        <v>38</v>
      </c>
      <c r="E124" s="1">
        <v>45064</v>
      </c>
      <c r="F124" s="1">
        <v>45071</v>
      </c>
      <c r="G124">
        <v>14.4</v>
      </c>
      <c r="H124">
        <v>280.58999999999997</v>
      </c>
      <c r="I124" t="s">
        <v>16</v>
      </c>
      <c r="J124">
        <v>2399</v>
      </c>
      <c r="K124">
        <v>7</v>
      </c>
    </row>
    <row r="125" spans="1:11">
      <c r="A125" t="s">
        <v>172</v>
      </c>
      <c r="B125" t="s">
        <v>31</v>
      </c>
      <c r="C125" t="s">
        <v>53</v>
      </c>
      <c r="D125" t="s">
        <v>26</v>
      </c>
      <c r="E125" s="1">
        <v>45148</v>
      </c>
      <c r="F125" s="1">
        <v>45152</v>
      </c>
      <c r="G125">
        <v>50.1</v>
      </c>
      <c r="H125">
        <v>210.77</v>
      </c>
      <c r="I125" t="s">
        <v>16</v>
      </c>
      <c r="J125">
        <v>1297</v>
      </c>
      <c r="K125">
        <v>4</v>
      </c>
    </row>
    <row r="126" spans="1:11">
      <c r="A126" t="s">
        <v>173</v>
      </c>
      <c r="B126" t="s">
        <v>31</v>
      </c>
      <c r="C126" t="s">
        <v>14</v>
      </c>
      <c r="D126" t="s">
        <v>60</v>
      </c>
      <c r="E126" s="1">
        <v>45021</v>
      </c>
      <c r="F126" s="1">
        <v>45027</v>
      </c>
      <c r="G126">
        <v>20.3</v>
      </c>
      <c r="H126">
        <v>150.38</v>
      </c>
      <c r="I126" t="s">
        <v>16</v>
      </c>
      <c r="J126">
        <v>1200</v>
      </c>
      <c r="K126">
        <v>6</v>
      </c>
    </row>
    <row r="127" spans="1:11">
      <c r="A127" t="s">
        <v>174</v>
      </c>
      <c r="B127" t="s">
        <v>36</v>
      </c>
      <c r="C127" t="s">
        <v>55</v>
      </c>
      <c r="D127" t="s">
        <v>60</v>
      </c>
      <c r="E127" s="1">
        <v>45105</v>
      </c>
      <c r="F127" s="1">
        <v>45109</v>
      </c>
      <c r="G127">
        <v>11.8</v>
      </c>
      <c r="H127">
        <v>180.52</v>
      </c>
      <c r="I127" t="s">
        <v>16</v>
      </c>
      <c r="J127">
        <v>1350</v>
      </c>
      <c r="K127">
        <v>4</v>
      </c>
    </row>
    <row r="128" spans="1:11">
      <c r="A128" t="s">
        <v>175</v>
      </c>
      <c r="B128" t="s">
        <v>50</v>
      </c>
      <c r="C128" t="s">
        <v>55</v>
      </c>
      <c r="D128" t="s">
        <v>15</v>
      </c>
      <c r="E128" s="1">
        <v>45171</v>
      </c>
      <c r="F128" s="1">
        <v>45178</v>
      </c>
      <c r="G128">
        <v>90.2</v>
      </c>
      <c r="H128">
        <v>384.64</v>
      </c>
      <c r="I128" t="s">
        <v>16</v>
      </c>
      <c r="J128">
        <v>2188</v>
      </c>
      <c r="K128">
        <v>7</v>
      </c>
    </row>
    <row r="129" spans="1:11">
      <c r="A129" t="s">
        <v>176</v>
      </c>
      <c r="B129" t="s">
        <v>21</v>
      </c>
      <c r="C129" t="s">
        <v>55</v>
      </c>
      <c r="D129" t="s">
        <v>15</v>
      </c>
      <c r="E129" s="1">
        <v>45204</v>
      </c>
      <c r="F129" s="1">
        <v>45212</v>
      </c>
      <c r="G129">
        <v>30.1</v>
      </c>
      <c r="H129">
        <v>156.74</v>
      </c>
      <c r="I129" t="s">
        <v>16</v>
      </c>
      <c r="J129">
        <v>1075</v>
      </c>
      <c r="K129">
        <v>8</v>
      </c>
    </row>
    <row r="130" spans="1:11">
      <c r="A130" t="s">
        <v>177</v>
      </c>
      <c r="B130" t="s">
        <v>24</v>
      </c>
      <c r="C130" t="s">
        <v>55</v>
      </c>
      <c r="D130" t="s">
        <v>43</v>
      </c>
      <c r="E130" s="1">
        <v>45217</v>
      </c>
      <c r="F130" s="1">
        <v>45226</v>
      </c>
      <c r="G130">
        <v>3.2</v>
      </c>
      <c r="H130">
        <v>159.82</v>
      </c>
      <c r="I130" t="s">
        <v>16</v>
      </c>
      <c r="J130">
        <v>1260</v>
      </c>
      <c r="K130">
        <v>9</v>
      </c>
    </row>
    <row r="131" spans="1:11">
      <c r="A131" t="s">
        <v>178</v>
      </c>
      <c r="B131" t="s">
        <v>13</v>
      </c>
      <c r="C131" t="s">
        <v>55</v>
      </c>
      <c r="D131" t="s">
        <v>43</v>
      </c>
      <c r="E131" s="1">
        <v>45033</v>
      </c>
      <c r="F131" s="1">
        <v>45038</v>
      </c>
      <c r="G131">
        <v>31.9</v>
      </c>
      <c r="H131">
        <v>260.72000000000003</v>
      </c>
      <c r="I131" t="s">
        <v>16</v>
      </c>
      <c r="J131">
        <v>1926</v>
      </c>
      <c r="K131">
        <v>5</v>
      </c>
    </row>
    <row r="132" spans="1:11">
      <c r="A132" t="s">
        <v>179</v>
      </c>
      <c r="B132" t="s">
        <v>13</v>
      </c>
      <c r="C132" t="s">
        <v>53</v>
      </c>
      <c r="D132" t="s">
        <v>43</v>
      </c>
      <c r="E132" s="1">
        <v>45261</v>
      </c>
      <c r="F132" s="1">
        <v>45266</v>
      </c>
      <c r="G132">
        <v>15.1</v>
      </c>
      <c r="H132">
        <v>321.82</v>
      </c>
      <c r="I132" t="s">
        <v>16</v>
      </c>
      <c r="J132">
        <v>2204</v>
      </c>
      <c r="K132">
        <v>5</v>
      </c>
    </row>
    <row r="133" spans="1:11">
      <c r="A133" t="s">
        <v>180</v>
      </c>
      <c r="B133" t="s">
        <v>28</v>
      </c>
      <c r="C133" t="s">
        <v>25</v>
      </c>
      <c r="D133" t="s">
        <v>26</v>
      </c>
      <c r="E133" s="1">
        <v>45072</v>
      </c>
      <c r="F133" s="1">
        <v>45079</v>
      </c>
      <c r="G133">
        <v>19.2</v>
      </c>
      <c r="H133">
        <v>253.39</v>
      </c>
      <c r="I133" t="s">
        <v>68</v>
      </c>
      <c r="J133">
        <v>2048</v>
      </c>
      <c r="K133">
        <v>7</v>
      </c>
    </row>
    <row r="134" spans="1:11">
      <c r="A134" t="s">
        <v>181</v>
      </c>
      <c r="B134" t="s">
        <v>57</v>
      </c>
      <c r="C134" t="s">
        <v>14</v>
      </c>
      <c r="D134" t="s">
        <v>19</v>
      </c>
      <c r="E134" s="1">
        <v>45114</v>
      </c>
      <c r="G134">
        <v>8.4</v>
      </c>
      <c r="I134" t="s">
        <v>16</v>
      </c>
      <c r="J134">
        <v>815</v>
      </c>
      <c r="K134">
        <v>3</v>
      </c>
    </row>
    <row r="135" spans="1:11">
      <c r="A135" t="s">
        <v>182</v>
      </c>
      <c r="B135" t="s">
        <v>52</v>
      </c>
      <c r="C135" t="s">
        <v>18</v>
      </c>
      <c r="D135" t="s">
        <v>15</v>
      </c>
      <c r="E135" s="1">
        <v>45283</v>
      </c>
      <c r="F135" s="1">
        <v>45286</v>
      </c>
      <c r="G135">
        <v>26.4</v>
      </c>
      <c r="H135">
        <v>186.75</v>
      </c>
      <c r="I135" t="s">
        <v>16</v>
      </c>
      <c r="J135">
        <v>870</v>
      </c>
      <c r="K135">
        <v>3</v>
      </c>
    </row>
    <row r="136" spans="1:11">
      <c r="A136" t="s">
        <v>183</v>
      </c>
      <c r="B136" t="s">
        <v>28</v>
      </c>
      <c r="C136" t="s">
        <v>37</v>
      </c>
      <c r="D136" t="s">
        <v>43</v>
      </c>
      <c r="E136" s="1">
        <v>44929</v>
      </c>
      <c r="F136" s="1">
        <v>44936</v>
      </c>
      <c r="G136">
        <v>24.4</v>
      </c>
      <c r="H136">
        <v>313.23</v>
      </c>
      <c r="I136" t="s">
        <v>16</v>
      </c>
      <c r="J136">
        <v>2314</v>
      </c>
      <c r="K136">
        <v>7</v>
      </c>
    </row>
    <row r="137" spans="1:11">
      <c r="A137" t="s">
        <v>184</v>
      </c>
      <c r="B137" t="s">
        <v>21</v>
      </c>
      <c r="C137" t="s">
        <v>14</v>
      </c>
      <c r="D137" t="s">
        <v>19</v>
      </c>
      <c r="E137" s="1">
        <v>45185</v>
      </c>
      <c r="F137" s="1">
        <v>45188</v>
      </c>
      <c r="G137">
        <v>59.4</v>
      </c>
      <c r="H137">
        <v>234.64</v>
      </c>
      <c r="I137" t="s">
        <v>16</v>
      </c>
      <c r="J137">
        <v>1070</v>
      </c>
      <c r="K137">
        <v>3</v>
      </c>
    </row>
    <row r="138" spans="1:11">
      <c r="A138" t="s">
        <v>185</v>
      </c>
      <c r="B138" t="s">
        <v>36</v>
      </c>
      <c r="C138" t="s">
        <v>55</v>
      </c>
      <c r="D138" t="s">
        <v>33</v>
      </c>
      <c r="E138" s="1">
        <v>45234</v>
      </c>
      <c r="F138" s="1">
        <v>45240</v>
      </c>
      <c r="G138">
        <v>15.9</v>
      </c>
      <c r="H138">
        <v>257.13</v>
      </c>
      <c r="I138" t="s">
        <v>16</v>
      </c>
      <c r="J138">
        <v>1350</v>
      </c>
      <c r="K138">
        <v>6</v>
      </c>
    </row>
    <row r="139" spans="1:11">
      <c r="A139" t="s">
        <v>186</v>
      </c>
      <c r="B139" t="s">
        <v>57</v>
      </c>
      <c r="C139" t="s">
        <v>47</v>
      </c>
      <c r="D139" t="s">
        <v>38</v>
      </c>
      <c r="E139" s="1">
        <v>44967</v>
      </c>
      <c r="F139" s="1">
        <v>44971</v>
      </c>
      <c r="G139">
        <v>17.5</v>
      </c>
      <c r="H139">
        <v>208.17</v>
      </c>
      <c r="I139" t="s">
        <v>16</v>
      </c>
      <c r="J139">
        <v>1476</v>
      </c>
      <c r="K139">
        <v>4</v>
      </c>
    </row>
    <row r="140" spans="1:11">
      <c r="A140" t="s">
        <v>187</v>
      </c>
      <c r="B140" t="s">
        <v>52</v>
      </c>
      <c r="C140" t="s">
        <v>22</v>
      </c>
      <c r="D140" t="s">
        <v>26</v>
      </c>
      <c r="E140" s="1">
        <v>45238</v>
      </c>
      <c r="F140" s="1">
        <v>45241</v>
      </c>
      <c r="G140">
        <v>66.5</v>
      </c>
      <c r="H140">
        <v>199.04</v>
      </c>
      <c r="I140" t="s">
        <v>16</v>
      </c>
      <c r="J140">
        <v>672</v>
      </c>
      <c r="K140">
        <v>3</v>
      </c>
    </row>
    <row r="141" spans="1:11">
      <c r="A141" t="s">
        <v>188</v>
      </c>
      <c r="B141" t="s">
        <v>36</v>
      </c>
      <c r="C141" t="s">
        <v>22</v>
      </c>
      <c r="D141" t="s">
        <v>60</v>
      </c>
      <c r="E141" s="1">
        <v>44995</v>
      </c>
      <c r="F141" s="1">
        <v>44998</v>
      </c>
      <c r="G141">
        <v>19.399999999999999</v>
      </c>
      <c r="H141">
        <v>169.99</v>
      </c>
      <c r="I141" t="s">
        <v>16</v>
      </c>
      <c r="J141">
        <v>1300</v>
      </c>
      <c r="K141">
        <v>3</v>
      </c>
    </row>
    <row r="142" spans="1:11">
      <c r="A142" t="s">
        <v>189</v>
      </c>
      <c r="B142" t="s">
        <v>50</v>
      </c>
      <c r="C142" t="s">
        <v>37</v>
      </c>
      <c r="D142" t="s">
        <v>60</v>
      </c>
      <c r="E142" s="1">
        <v>45262</v>
      </c>
      <c r="F142" s="1">
        <v>45264</v>
      </c>
      <c r="G142">
        <v>48</v>
      </c>
      <c r="H142">
        <v>133.97999999999999</v>
      </c>
      <c r="I142" t="s">
        <v>16</v>
      </c>
      <c r="J142">
        <v>593</v>
      </c>
      <c r="K142">
        <v>2</v>
      </c>
    </row>
    <row r="143" spans="1:11">
      <c r="A143" t="s">
        <v>190</v>
      </c>
      <c r="B143" t="s">
        <v>24</v>
      </c>
      <c r="C143" t="s">
        <v>45</v>
      </c>
      <c r="D143" t="s">
        <v>60</v>
      </c>
      <c r="E143" s="1">
        <v>45214</v>
      </c>
      <c r="F143" s="1">
        <v>45219</v>
      </c>
      <c r="G143">
        <v>18.399999999999999</v>
      </c>
      <c r="H143">
        <v>237.17</v>
      </c>
      <c r="I143" t="s">
        <v>16</v>
      </c>
      <c r="J143">
        <v>1939</v>
      </c>
      <c r="K143">
        <v>5</v>
      </c>
    </row>
    <row r="144" spans="1:11">
      <c r="A144" t="s">
        <v>191</v>
      </c>
      <c r="B144" t="s">
        <v>52</v>
      </c>
      <c r="C144" t="s">
        <v>45</v>
      </c>
      <c r="D144" t="s">
        <v>26</v>
      </c>
      <c r="E144" s="1">
        <v>44932</v>
      </c>
      <c r="F144" s="1">
        <v>44935</v>
      </c>
      <c r="G144">
        <v>38.9</v>
      </c>
      <c r="H144">
        <v>137.82</v>
      </c>
      <c r="I144" t="s">
        <v>16</v>
      </c>
      <c r="J144">
        <v>790</v>
      </c>
      <c r="K144">
        <v>3</v>
      </c>
    </row>
    <row r="145" spans="1:11">
      <c r="A145" t="s">
        <v>192</v>
      </c>
      <c r="B145" t="s">
        <v>21</v>
      </c>
      <c r="C145" t="s">
        <v>14</v>
      </c>
      <c r="D145" t="s">
        <v>26</v>
      </c>
      <c r="E145" s="1">
        <v>44962</v>
      </c>
      <c r="F145" s="1">
        <v>44969</v>
      </c>
      <c r="G145">
        <v>36.6</v>
      </c>
      <c r="H145">
        <v>310.16000000000003</v>
      </c>
      <c r="I145" t="s">
        <v>16</v>
      </c>
      <c r="J145">
        <v>2497</v>
      </c>
      <c r="K145">
        <v>7</v>
      </c>
    </row>
    <row r="146" spans="1:11">
      <c r="A146" t="s">
        <v>193</v>
      </c>
      <c r="B146" t="s">
        <v>50</v>
      </c>
      <c r="C146" t="s">
        <v>32</v>
      </c>
      <c r="D146" t="s">
        <v>60</v>
      </c>
      <c r="E146" s="1">
        <v>45051</v>
      </c>
      <c r="F146" s="1">
        <v>45053</v>
      </c>
      <c r="G146">
        <v>19.2</v>
      </c>
      <c r="H146">
        <v>81.430000000000007</v>
      </c>
      <c r="I146" t="s">
        <v>16</v>
      </c>
      <c r="J146">
        <v>510</v>
      </c>
      <c r="K146">
        <v>2</v>
      </c>
    </row>
    <row r="147" spans="1:11">
      <c r="A147" t="s">
        <v>194</v>
      </c>
      <c r="B147" t="s">
        <v>40</v>
      </c>
      <c r="C147" t="s">
        <v>18</v>
      </c>
      <c r="D147" t="s">
        <v>15</v>
      </c>
      <c r="E147" s="1">
        <v>45110</v>
      </c>
      <c r="F147" s="1">
        <v>45117</v>
      </c>
      <c r="G147">
        <v>23.4</v>
      </c>
      <c r="H147">
        <v>142.13</v>
      </c>
      <c r="I147" t="s">
        <v>48</v>
      </c>
      <c r="J147">
        <v>800</v>
      </c>
      <c r="K147">
        <v>3</v>
      </c>
    </row>
    <row r="148" spans="1:11">
      <c r="A148" t="s">
        <v>195</v>
      </c>
      <c r="B148" t="s">
        <v>24</v>
      </c>
      <c r="C148" t="s">
        <v>37</v>
      </c>
      <c r="D148" t="s">
        <v>60</v>
      </c>
      <c r="E148" s="1">
        <v>45150</v>
      </c>
      <c r="F148" s="1">
        <v>45155</v>
      </c>
      <c r="G148">
        <v>23.7</v>
      </c>
      <c r="I148" t="s">
        <v>16</v>
      </c>
      <c r="J148">
        <v>1459</v>
      </c>
      <c r="K148">
        <v>5</v>
      </c>
    </row>
    <row r="149" spans="1:11">
      <c r="A149" t="s">
        <v>196</v>
      </c>
      <c r="B149" t="s">
        <v>31</v>
      </c>
      <c r="C149" t="s">
        <v>14</v>
      </c>
      <c r="D149" t="s">
        <v>15</v>
      </c>
      <c r="E149" s="1">
        <v>45121</v>
      </c>
      <c r="F149" s="1">
        <v>45126</v>
      </c>
      <c r="G149">
        <v>66.8</v>
      </c>
      <c r="H149">
        <v>336.2</v>
      </c>
      <c r="I149" t="s">
        <v>16</v>
      </c>
      <c r="J149">
        <v>2262</v>
      </c>
      <c r="K149">
        <v>5</v>
      </c>
    </row>
    <row r="150" spans="1:11">
      <c r="A150" t="s">
        <v>197</v>
      </c>
      <c r="B150" t="s">
        <v>52</v>
      </c>
      <c r="C150" t="s">
        <v>58</v>
      </c>
      <c r="D150" t="s">
        <v>38</v>
      </c>
      <c r="E150" s="1">
        <v>45132</v>
      </c>
      <c r="F150" s="1">
        <v>45138</v>
      </c>
      <c r="G150">
        <v>25.8</v>
      </c>
      <c r="H150">
        <v>258.31</v>
      </c>
      <c r="I150" t="s">
        <v>16</v>
      </c>
      <c r="J150">
        <v>2078</v>
      </c>
      <c r="K150">
        <v>6</v>
      </c>
    </row>
    <row r="151" spans="1:11">
      <c r="A151" t="s">
        <v>198</v>
      </c>
      <c r="B151" t="s">
        <v>21</v>
      </c>
      <c r="C151" t="s">
        <v>32</v>
      </c>
      <c r="D151" t="s">
        <v>19</v>
      </c>
      <c r="E151" s="1">
        <v>45068</v>
      </c>
      <c r="F151" s="1">
        <v>45084</v>
      </c>
      <c r="G151">
        <v>38.200000000000003</v>
      </c>
      <c r="H151">
        <v>151.35</v>
      </c>
      <c r="I151" t="s">
        <v>61</v>
      </c>
      <c r="J151">
        <v>775</v>
      </c>
      <c r="K151">
        <v>3</v>
      </c>
    </row>
    <row r="152" spans="1:11">
      <c r="A152" t="s">
        <v>199</v>
      </c>
      <c r="B152" t="s">
        <v>28</v>
      </c>
      <c r="C152" t="s">
        <v>53</v>
      </c>
      <c r="D152" t="s">
        <v>43</v>
      </c>
      <c r="E152" s="1">
        <v>45073</v>
      </c>
      <c r="F152" s="1">
        <v>45078</v>
      </c>
      <c r="G152">
        <v>11.6</v>
      </c>
      <c r="H152">
        <v>278.85000000000002</v>
      </c>
      <c r="I152" t="s">
        <v>16</v>
      </c>
      <c r="J152">
        <v>2080</v>
      </c>
      <c r="K152">
        <v>5</v>
      </c>
    </row>
    <row r="153" spans="1:11">
      <c r="A153" t="s">
        <v>200</v>
      </c>
      <c r="B153" t="s">
        <v>31</v>
      </c>
      <c r="C153" t="s">
        <v>14</v>
      </c>
      <c r="D153" t="s">
        <v>15</v>
      </c>
      <c r="E153" s="1">
        <v>45245</v>
      </c>
      <c r="F153" s="1">
        <v>45260</v>
      </c>
      <c r="G153">
        <v>21.8</v>
      </c>
      <c r="H153">
        <v>123.4</v>
      </c>
      <c r="I153" t="s">
        <v>48</v>
      </c>
      <c r="J153">
        <v>573</v>
      </c>
      <c r="K153">
        <v>2</v>
      </c>
    </row>
    <row r="154" spans="1:11">
      <c r="A154" t="s">
        <v>201</v>
      </c>
      <c r="B154" t="s">
        <v>40</v>
      </c>
      <c r="C154" t="s">
        <v>25</v>
      </c>
      <c r="D154" t="s">
        <v>33</v>
      </c>
      <c r="E154" s="1">
        <v>45015</v>
      </c>
      <c r="F154" s="1">
        <v>45018</v>
      </c>
      <c r="G154">
        <v>11.5</v>
      </c>
      <c r="H154">
        <v>167.08</v>
      </c>
      <c r="I154" t="s">
        <v>16</v>
      </c>
      <c r="J154">
        <v>1125</v>
      </c>
      <c r="K154">
        <v>3</v>
      </c>
    </row>
    <row r="155" spans="1:11">
      <c r="A155" t="s">
        <v>202</v>
      </c>
      <c r="B155" t="s">
        <v>13</v>
      </c>
      <c r="C155" t="s">
        <v>45</v>
      </c>
      <c r="D155" t="s">
        <v>43</v>
      </c>
      <c r="E155" s="1">
        <v>45232</v>
      </c>
      <c r="F155" s="1">
        <v>45247</v>
      </c>
      <c r="G155">
        <v>45</v>
      </c>
      <c r="H155">
        <v>118.74</v>
      </c>
      <c r="I155" t="s">
        <v>48</v>
      </c>
      <c r="J155">
        <v>382</v>
      </c>
      <c r="K155">
        <v>5</v>
      </c>
    </row>
    <row r="156" spans="1:11">
      <c r="A156" t="s">
        <v>203</v>
      </c>
      <c r="B156" t="s">
        <v>13</v>
      </c>
      <c r="C156" t="s">
        <v>58</v>
      </c>
      <c r="D156" t="s">
        <v>19</v>
      </c>
      <c r="E156" s="1">
        <v>45061</v>
      </c>
      <c r="G156">
        <v>55.3</v>
      </c>
      <c r="H156">
        <v>362.11</v>
      </c>
      <c r="I156" t="s">
        <v>16</v>
      </c>
      <c r="J156">
        <v>2192</v>
      </c>
      <c r="K156">
        <v>6</v>
      </c>
    </row>
    <row r="157" spans="1:11">
      <c r="A157" t="s">
        <v>204</v>
      </c>
      <c r="B157" t="s">
        <v>28</v>
      </c>
      <c r="C157" t="s">
        <v>25</v>
      </c>
      <c r="D157" t="s">
        <v>60</v>
      </c>
      <c r="E157" s="1">
        <v>45129</v>
      </c>
      <c r="F157" s="1">
        <v>45134</v>
      </c>
      <c r="G157">
        <v>12.2</v>
      </c>
      <c r="H157">
        <v>278.14999999999998</v>
      </c>
      <c r="I157" t="s">
        <v>16</v>
      </c>
      <c r="J157">
        <v>2161</v>
      </c>
      <c r="K157">
        <v>5</v>
      </c>
    </row>
    <row r="158" spans="1:11">
      <c r="A158" t="s">
        <v>205</v>
      </c>
      <c r="B158" t="s">
        <v>21</v>
      </c>
      <c r="C158" t="s">
        <v>32</v>
      </c>
      <c r="D158" t="s">
        <v>33</v>
      </c>
      <c r="E158" s="1">
        <v>44992</v>
      </c>
      <c r="F158" s="1">
        <v>44997</v>
      </c>
      <c r="G158">
        <v>54.9</v>
      </c>
      <c r="H158">
        <v>332.76</v>
      </c>
      <c r="I158" t="s">
        <v>16</v>
      </c>
      <c r="J158">
        <v>2244</v>
      </c>
      <c r="K158">
        <v>5</v>
      </c>
    </row>
    <row r="159" spans="1:11">
      <c r="A159" t="s">
        <v>206</v>
      </c>
      <c r="B159" t="s">
        <v>50</v>
      </c>
      <c r="C159" t="s">
        <v>25</v>
      </c>
      <c r="D159" t="s">
        <v>43</v>
      </c>
      <c r="E159" s="1">
        <v>45050</v>
      </c>
      <c r="F159" s="1">
        <v>45052</v>
      </c>
      <c r="G159">
        <v>11.9</v>
      </c>
      <c r="H159">
        <v>83.93</v>
      </c>
      <c r="I159" t="s">
        <v>16</v>
      </c>
      <c r="J159">
        <v>561</v>
      </c>
      <c r="K159">
        <v>2</v>
      </c>
    </row>
    <row r="160" spans="1:11">
      <c r="A160" t="s">
        <v>207</v>
      </c>
      <c r="B160" t="s">
        <v>52</v>
      </c>
      <c r="C160" t="s">
        <v>53</v>
      </c>
      <c r="D160" t="s">
        <v>38</v>
      </c>
      <c r="E160" s="1">
        <v>45267</v>
      </c>
      <c r="F160" s="1">
        <v>45269</v>
      </c>
      <c r="G160">
        <v>11.5</v>
      </c>
      <c r="H160">
        <v>69.7</v>
      </c>
      <c r="I160" t="s">
        <v>16</v>
      </c>
      <c r="J160">
        <v>388</v>
      </c>
      <c r="K160">
        <v>2</v>
      </c>
    </row>
    <row r="161" spans="1:11">
      <c r="A161" t="s">
        <v>208</v>
      </c>
      <c r="B161" t="s">
        <v>40</v>
      </c>
      <c r="C161" t="s">
        <v>37</v>
      </c>
      <c r="D161" t="s">
        <v>15</v>
      </c>
      <c r="E161" s="1">
        <v>45060</v>
      </c>
      <c r="F161" s="1">
        <v>45069</v>
      </c>
      <c r="G161">
        <v>32.200000000000003</v>
      </c>
      <c r="H161">
        <v>334.49</v>
      </c>
      <c r="I161" t="s">
        <v>16</v>
      </c>
      <c r="J161">
        <v>2453</v>
      </c>
      <c r="K161">
        <v>9</v>
      </c>
    </row>
    <row r="162" spans="1:11">
      <c r="A162" t="s">
        <v>209</v>
      </c>
      <c r="B162" t="s">
        <v>21</v>
      </c>
      <c r="C162" t="s">
        <v>18</v>
      </c>
      <c r="D162" t="s">
        <v>15</v>
      </c>
      <c r="E162" s="1">
        <v>45242</v>
      </c>
      <c r="F162" s="1">
        <v>45246</v>
      </c>
      <c r="G162">
        <v>22.1</v>
      </c>
      <c r="H162">
        <v>169.82</v>
      </c>
      <c r="I162" t="s">
        <v>16</v>
      </c>
      <c r="J162">
        <v>821</v>
      </c>
      <c r="K162">
        <v>4</v>
      </c>
    </row>
    <row r="163" spans="1:11">
      <c r="A163" t="s">
        <v>210</v>
      </c>
      <c r="B163" t="s">
        <v>40</v>
      </c>
      <c r="C163" t="s">
        <v>45</v>
      </c>
      <c r="D163" t="s">
        <v>43</v>
      </c>
      <c r="E163" s="1">
        <v>45188</v>
      </c>
      <c r="F163" s="1">
        <v>45192</v>
      </c>
      <c r="G163">
        <v>23.8</v>
      </c>
      <c r="H163">
        <v>206.9</v>
      </c>
      <c r="I163" t="s">
        <v>16</v>
      </c>
      <c r="J163">
        <v>1566</v>
      </c>
      <c r="K163">
        <v>4</v>
      </c>
    </row>
    <row r="164" spans="1:11">
      <c r="A164" t="s">
        <v>211</v>
      </c>
      <c r="B164" t="s">
        <v>24</v>
      </c>
      <c r="C164" t="s">
        <v>22</v>
      </c>
      <c r="D164" t="s">
        <v>60</v>
      </c>
      <c r="E164" s="1">
        <v>44999</v>
      </c>
      <c r="F164" s="1">
        <v>45001</v>
      </c>
      <c r="G164">
        <v>22.1</v>
      </c>
      <c r="H164">
        <v>79.13</v>
      </c>
      <c r="I164" t="s">
        <v>16</v>
      </c>
      <c r="J164">
        <v>465</v>
      </c>
      <c r="K164">
        <v>2</v>
      </c>
    </row>
    <row r="165" spans="1:11">
      <c r="A165" t="s">
        <v>212</v>
      </c>
      <c r="B165" t="s">
        <v>36</v>
      </c>
      <c r="C165" t="s">
        <v>55</v>
      </c>
      <c r="D165" t="s">
        <v>38</v>
      </c>
      <c r="E165" s="1">
        <v>45216</v>
      </c>
      <c r="F165" s="1">
        <v>45220</v>
      </c>
      <c r="G165">
        <v>19.7</v>
      </c>
      <c r="H165">
        <v>196.56</v>
      </c>
      <c r="I165" t="s">
        <v>16</v>
      </c>
      <c r="J165">
        <v>1350</v>
      </c>
      <c r="K165">
        <v>4</v>
      </c>
    </row>
    <row r="166" spans="1:11">
      <c r="A166" t="s">
        <v>213</v>
      </c>
      <c r="B166" t="s">
        <v>36</v>
      </c>
      <c r="C166" t="s">
        <v>18</v>
      </c>
      <c r="D166" t="s">
        <v>60</v>
      </c>
      <c r="E166" s="1">
        <v>45188</v>
      </c>
      <c r="F166" s="1">
        <v>45190</v>
      </c>
      <c r="G166">
        <v>14.6</v>
      </c>
      <c r="H166">
        <v>94.67</v>
      </c>
      <c r="I166" t="s">
        <v>16</v>
      </c>
      <c r="J166">
        <v>648</v>
      </c>
      <c r="K166">
        <v>2</v>
      </c>
    </row>
    <row r="167" spans="1:11">
      <c r="A167" t="s">
        <v>214</v>
      </c>
      <c r="B167" t="s">
        <v>21</v>
      </c>
      <c r="C167" t="s">
        <v>82</v>
      </c>
      <c r="D167" t="s">
        <v>26</v>
      </c>
      <c r="E167" s="1">
        <v>45249</v>
      </c>
      <c r="F167" s="1">
        <v>45251</v>
      </c>
      <c r="G167">
        <v>23.3</v>
      </c>
      <c r="H167">
        <v>117.91</v>
      </c>
      <c r="I167" t="s">
        <v>16</v>
      </c>
      <c r="J167">
        <v>586</v>
      </c>
      <c r="K167">
        <v>2</v>
      </c>
    </row>
    <row r="168" spans="1:11">
      <c r="A168" t="s">
        <v>215</v>
      </c>
      <c r="B168" t="s">
        <v>50</v>
      </c>
      <c r="C168" t="s">
        <v>58</v>
      </c>
      <c r="D168" t="s">
        <v>33</v>
      </c>
      <c r="E168" s="1">
        <v>45052</v>
      </c>
      <c r="F168" s="1">
        <v>45057</v>
      </c>
      <c r="G168">
        <v>20.2</v>
      </c>
      <c r="H168">
        <v>309.57</v>
      </c>
      <c r="I168" t="s">
        <v>16</v>
      </c>
      <c r="J168">
        <v>1964</v>
      </c>
      <c r="K168">
        <v>5</v>
      </c>
    </row>
    <row r="169" spans="1:11">
      <c r="A169" t="s">
        <v>216</v>
      </c>
      <c r="B169" t="s">
        <v>21</v>
      </c>
      <c r="C169" t="s">
        <v>55</v>
      </c>
      <c r="D169" t="s">
        <v>15</v>
      </c>
      <c r="E169" s="1">
        <v>45161</v>
      </c>
      <c r="F169" s="1">
        <v>45163</v>
      </c>
      <c r="G169">
        <v>5.7</v>
      </c>
      <c r="H169">
        <v>24.11</v>
      </c>
      <c r="I169" t="s">
        <v>16</v>
      </c>
      <c r="J169">
        <v>143</v>
      </c>
      <c r="K169">
        <v>2</v>
      </c>
    </row>
    <row r="170" spans="1:11">
      <c r="A170" t="s">
        <v>217</v>
      </c>
      <c r="B170" t="s">
        <v>36</v>
      </c>
      <c r="C170" t="s">
        <v>22</v>
      </c>
      <c r="D170" t="s">
        <v>38</v>
      </c>
      <c r="E170" s="1">
        <v>45132</v>
      </c>
      <c r="F170" s="1">
        <v>45136</v>
      </c>
      <c r="G170">
        <v>7.5</v>
      </c>
      <c r="H170">
        <v>157.13</v>
      </c>
      <c r="I170" t="s">
        <v>16</v>
      </c>
      <c r="J170">
        <v>1262</v>
      </c>
      <c r="K170">
        <v>4</v>
      </c>
    </row>
    <row r="171" spans="1:11">
      <c r="A171" t="s">
        <v>218</v>
      </c>
      <c r="B171" t="s">
        <v>57</v>
      </c>
      <c r="C171" t="s">
        <v>53</v>
      </c>
      <c r="D171" t="s">
        <v>33</v>
      </c>
      <c r="E171" s="1">
        <v>45170</v>
      </c>
      <c r="F171" s="1">
        <v>45175</v>
      </c>
      <c r="G171">
        <v>84.2</v>
      </c>
      <c r="H171">
        <v>414.53</v>
      </c>
      <c r="I171" t="s">
        <v>16</v>
      </c>
      <c r="J171">
        <v>2302</v>
      </c>
      <c r="K171">
        <v>5</v>
      </c>
    </row>
    <row r="172" spans="1:11">
      <c r="A172" t="s">
        <v>219</v>
      </c>
      <c r="B172" t="s">
        <v>13</v>
      </c>
      <c r="C172" t="s">
        <v>18</v>
      </c>
      <c r="D172" t="s">
        <v>60</v>
      </c>
      <c r="E172" s="1">
        <v>45194</v>
      </c>
      <c r="F172" s="1">
        <v>45197</v>
      </c>
      <c r="G172">
        <v>18.2</v>
      </c>
      <c r="H172">
        <v>103.05</v>
      </c>
      <c r="I172" t="s">
        <v>16</v>
      </c>
      <c r="J172">
        <v>679</v>
      </c>
      <c r="K172">
        <v>3</v>
      </c>
    </row>
    <row r="173" spans="1:11">
      <c r="A173" t="s">
        <v>220</v>
      </c>
      <c r="B173" t="s">
        <v>21</v>
      </c>
      <c r="C173" t="s">
        <v>45</v>
      </c>
      <c r="D173" t="s">
        <v>38</v>
      </c>
      <c r="E173" s="1">
        <v>45184</v>
      </c>
      <c r="F173" s="1">
        <v>45186</v>
      </c>
      <c r="G173">
        <v>12.9</v>
      </c>
      <c r="H173">
        <v>114.88</v>
      </c>
      <c r="I173" t="s">
        <v>16</v>
      </c>
      <c r="J173">
        <v>755</v>
      </c>
      <c r="K173">
        <v>2</v>
      </c>
    </row>
    <row r="174" spans="1:11">
      <c r="A174" t="s">
        <v>221</v>
      </c>
      <c r="B174" t="s">
        <v>50</v>
      </c>
      <c r="C174" t="s">
        <v>32</v>
      </c>
      <c r="D174" t="s">
        <v>38</v>
      </c>
      <c r="E174" s="1">
        <v>45039</v>
      </c>
      <c r="F174" s="1">
        <v>45047</v>
      </c>
      <c r="G174">
        <v>35.1</v>
      </c>
      <c r="H174">
        <v>272.06</v>
      </c>
      <c r="I174" t="s">
        <v>16</v>
      </c>
      <c r="J174">
        <v>2056</v>
      </c>
      <c r="K174">
        <v>8</v>
      </c>
    </row>
    <row r="175" spans="1:11">
      <c r="A175" t="s">
        <v>222</v>
      </c>
      <c r="B175" t="s">
        <v>13</v>
      </c>
      <c r="C175" t="s">
        <v>41</v>
      </c>
      <c r="D175" t="s">
        <v>15</v>
      </c>
      <c r="E175" s="1">
        <v>45135</v>
      </c>
      <c r="F175" s="1">
        <v>45139</v>
      </c>
      <c r="G175">
        <v>6.6</v>
      </c>
      <c r="H175">
        <v>156.36000000000001</v>
      </c>
      <c r="I175" t="s">
        <v>63</v>
      </c>
      <c r="J175">
        <v>1222</v>
      </c>
      <c r="K175">
        <v>4</v>
      </c>
    </row>
    <row r="176" spans="1:11">
      <c r="A176" t="s">
        <v>223</v>
      </c>
      <c r="B176" t="s">
        <v>21</v>
      </c>
      <c r="C176" t="s">
        <v>22</v>
      </c>
      <c r="D176" t="s">
        <v>33</v>
      </c>
      <c r="E176" s="1">
        <v>44931</v>
      </c>
      <c r="F176" s="1">
        <v>44949</v>
      </c>
      <c r="G176">
        <v>11.5</v>
      </c>
      <c r="H176">
        <v>244.22</v>
      </c>
      <c r="I176" t="s">
        <v>48</v>
      </c>
      <c r="J176">
        <v>1814</v>
      </c>
      <c r="K176">
        <v>8</v>
      </c>
    </row>
    <row r="177" spans="1:11">
      <c r="A177" t="s">
        <v>224</v>
      </c>
      <c r="B177" t="s">
        <v>13</v>
      </c>
      <c r="C177" t="s">
        <v>58</v>
      </c>
      <c r="D177" t="s">
        <v>60</v>
      </c>
      <c r="E177" s="1">
        <v>45126</v>
      </c>
      <c r="F177" s="1">
        <v>45132</v>
      </c>
      <c r="G177">
        <v>11.6</v>
      </c>
      <c r="H177">
        <v>184.5</v>
      </c>
      <c r="I177" t="s">
        <v>16</v>
      </c>
      <c r="J177">
        <v>1454</v>
      </c>
      <c r="K177">
        <v>6</v>
      </c>
    </row>
    <row r="178" spans="1:11">
      <c r="A178" t="s">
        <v>225</v>
      </c>
      <c r="B178" t="s">
        <v>52</v>
      </c>
      <c r="C178" t="s">
        <v>55</v>
      </c>
      <c r="D178" t="s">
        <v>60</v>
      </c>
      <c r="E178" s="1">
        <v>45094</v>
      </c>
      <c r="F178" s="1">
        <v>45096</v>
      </c>
      <c r="G178">
        <v>105</v>
      </c>
      <c r="H178">
        <v>180.26</v>
      </c>
      <c r="I178" t="s">
        <v>68</v>
      </c>
      <c r="J178">
        <v>543</v>
      </c>
      <c r="K178">
        <v>2</v>
      </c>
    </row>
    <row r="179" spans="1:11">
      <c r="A179" t="s">
        <v>226</v>
      </c>
      <c r="B179" t="s">
        <v>24</v>
      </c>
      <c r="C179" t="s">
        <v>18</v>
      </c>
      <c r="D179" t="s">
        <v>19</v>
      </c>
      <c r="E179" s="1">
        <v>45137</v>
      </c>
      <c r="F179" s="1">
        <v>45140</v>
      </c>
      <c r="G179">
        <v>13.8</v>
      </c>
      <c r="H179">
        <v>167.23</v>
      </c>
      <c r="I179" t="s">
        <v>16</v>
      </c>
      <c r="J179">
        <v>1142</v>
      </c>
      <c r="K179">
        <v>3</v>
      </c>
    </row>
    <row r="180" spans="1:11">
      <c r="A180" t="s">
        <v>227</v>
      </c>
      <c r="B180" t="s">
        <v>13</v>
      </c>
      <c r="C180" t="s">
        <v>37</v>
      </c>
      <c r="D180" t="s">
        <v>33</v>
      </c>
      <c r="E180" s="1">
        <v>45084</v>
      </c>
      <c r="F180" s="1">
        <v>45087</v>
      </c>
      <c r="G180">
        <v>14.1</v>
      </c>
      <c r="H180">
        <v>137.25</v>
      </c>
      <c r="I180" t="s">
        <v>16</v>
      </c>
      <c r="J180">
        <v>810</v>
      </c>
      <c r="K180">
        <v>3</v>
      </c>
    </row>
    <row r="181" spans="1:11">
      <c r="A181" t="s">
        <v>228</v>
      </c>
      <c r="B181" t="s">
        <v>36</v>
      </c>
      <c r="C181" t="s">
        <v>37</v>
      </c>
      <c r="D181" t="s">
        <v>38</v>
      </c>
      <c r="E181" s="1">
        <v>45152</v>
      </c>
      <c r="F181" s="1">
        <v>45165</v>
      </c>
      <c r="G181">
        <v>30.3</v>
      </c>
      <c r="H181">
        <v>154.16</v>
      </c>
      <c r="I181" t="s">
        <v>48</v>
      </c>
      <c r="J181">
        <v>1081</v>
      </c>
      <c r="K181">
        <v>3</v>
      </c>
    </row>
    <row r="182" spans="1:11">
      <c r="A182" t="s">
        <v>229</v>
      </c>
      <c r="B182" t="s">
        <v>57</v>
      </c>
      <c r="C182" t="s">
        <v>53</v>
      </c>
      <c r="D182" t="s">
        <v>38</v>
      </c>
      <c r="E182" s="1">
        <v>44947</v>
      </c>
      <c r="F182" s="1">
        <v>44948</v>
      </c>
      <c r="G182">
        <v>19.399999999999999</v>
      </c>
      <c r="H182">
        <v>40.24</v>
      </c>
      <c r="I182" t="s">
        <v>16</v>
      </c>
      <c r="J182">
        <v>152</v>
      </c>
      <c r="K182">
        <v>1</v>
      </c>
    </row>
    <row r="183" spans="1:11">
      <c r="A183" t="s">
        <v>230</v>
      </c>
      <c r="B183" t="s">
        <v>52</v>
      </c>
      <c r="C183" t="s">
        <v>53</v>
      </c>
      <c r="D183" t="s">
        <v>19</v>
      </c>
      <c r="E183" s="1">
        <v>45184</v>
      </c>
      <c r="F183" s="1">
        <v>45189</v>
      </c>
      <c r="G183">
        <v>10</v>
      </c>
      <c r="H183">
        <v>156.13</v>
      </c>
      <c r="I183" t="s">
        <v>16</v>
      </c>
      <c r="J183">
        <v>1120</v>
      </c>
      <c r="K183">
        <v>5</v>
      </c>
    </row>
    <row r="184" spans="1:11">
      <c r="A184" t="s">
        <v>231</v>
      </c>
      <c r="B184" t="s">
        <v>50</v>
      </c>
      <c r="C184" t="s">
        <v>37</v>
      </c>
      <c r="D184" t="s">
        <v>38</v>
      </c>
      <c r="E184" s="1">
        <v>44927</v>
      </c>
      <c r="F184" s="1">
        <v>44936</v>
      </c>
      <c r="G184">
        <v>22.8</v>
      </c>
      <c r="H184">
        <v>319.99</v>
      </c>
      <c r="I184" t="s">
        <v>16</v>
      </c>
      <c r="J184">
        <v>2327</v>
      </c>
      <c r="K184">
        <v>9</v>
      </c>
    </row>
    <row r="185" spans="1:11">
      <c r="A185" t="s">
        <v>232</v>
      </c>
      <c r="B185" t="s">
        <v>40</v>
      </c>
      <c r="C185" t="s">
        <v>29</v>
      </c>
      <c r="D185" t="s">
        <v>38</v>
      </c>
      <c r="E185" s="1">
        <v>45193</v>
      </c>
      <c r="F185" s="1">
        <v>45205</v>
      </c>
      <c r="G185">
        <v>7.1</v>
      </c>
      <c r="I185" t="s">
        <v>48</v>
      </c>
      <c r="J185">
        <v>1376</v>
      </c>
      <c r="K185">
        <v>5</v>
      </c>
    </row>
    <row r="186" spans="1:11">
      <c r="A186" t="s">
        <v>233</v>
      </c>
      <c r="B186" t="s">
        <v>28</v>
      </c>
      <c r="C186" t="s">
        <v>22</v>
      </c>
      <c r="D186" t="s">
        <v>38</v>
      </c>
      <c r="E186" s="1">
        <v>45255</v>
      </c>
      <c r="F186" s="1">
        <v>45260</v>
      </c>
      <c r="G186">
        <v>17.5</v>
      </c>
      <c r="H186">
        <v>347.71</v>
      </c>
      <c r="I186" t="s">
        <v>16</v>
      </c>
      <c r="J186">
        <v>2380</v>
      </c>
      <c r="K186">
        <v>5</v>
      </c>
    </row>
    <row r="187" spans="1:11">
      <c r="A187" t="s">
        <v>234</v>
      </c>
      <c r="B187" t="s">
        <v>21</v>
      </c>
      <c r="C187" t="s">
        <v>58</v>
      </c>
      <c r="D187" t="s">
        <v>43</v>
      </c>
      <c r="E187" s="1">
        <v>45189</v>
      </c>
      <c r="F187" s="1">
        <v>45193</v>
      </c>
      <c r="G187">
        <v>25.6</v>
      </c>
      <c r="H187">
        <v>108.01</v>
      </c>
      <c r="I187" t="s">
        <v>16</v>
      </c>
      <c r="J187">
        <v>694</v>
      </c>
      <c r="K187">
        <v>4</v>
      </c>
    </row>
    <row r="188" spans="1:11">
      <c r="A188" t="s">
        <v>235</v>
      </c>
      <c r="B188" t="s">
        <v>40</v>
      </c>
      <c r="C188" t="s">
        <v>32</v>
      </c>
      <c r="D188" t="s">
        <v>33</v>
      </c>
      <c r="E188" s="1">
        <v>45111</v>
      </c>
      <c r="F188" s="1">
        <v>45115</v>
      </c>
      <c r="G188">
        <v>19.600000000000001</v>
      </c>
      <c r="H188">
        <v>261.42</v>
      </c>
      <c r="I188" t="s">
        <v>16</v>
      </c>
      <c r="J188">
        <v>1791</v>
      </c>
      <c r="K188">
        <v>4</v>
      </c>
    </row>
    <row r="189" spans="1:11">
      <c r="A189" t="s">
        <v>236</v>
      </c>
      <c r="B189" t="s">
        <v>21</v>
      </c>
      <c r="C189" t="s">
        <v>32</v>
      </c>
      <c r="D189" t="s">
        <v>26</v>
      </c>
      <c r="E189" s="1">
        <v>45046</v>
      </c>
      <c r="F189" s="1">
        <v>45048</v>
      </c>
      <c r="G189">
        <v>15.7</v>
      </c>
      <c r="H189">
        <v>67.25</v>
      </c>
      <c r="I189" t="s">
        <v>16</v>
      </c>
      <c r="J189">
        <v>411</v>
      </c>
      <c r="K189">
        <v>2</v>
      </c>
    </row>
    <row r="190" spans="1:11">
      <c r="A190" t="s">
        <v>237</v>
      </c>
      <c r="B190" t="s">
        <v>50</v>
      </c>
      <c r="C190" t="s">
        <v>14</v>
      </c>
      <c r="D190" t="s">
        <v>26</v>
      </c>
      <c r="E190" s="1">
        <v>45280</v>
      </c>
      <c r="F190" s="1">
        <v>45286</v>
      </c>
      <c r="G190">
        <v>7.5</v>
      </c>
      <c r="H190">
        <v>158.02000000000001</v>
      </c>
      <c r="I190" t="s">
        <v>16</v>
      </c>
      <c r="J190">
        <v>1073</v>
      </c>
      <c r="K190">
        <v>6</v>
      </c>
    </row>
    <row r="191" spans="1:11">
      <c r="A191" t="s">
        <v>238</v>
      </c>
      <c r="B191" t="s">
        <v>13</v>
      </c>
      <c r="C191" t="s">
        <v>58</v>
      </c>
      <c r="D191" t="s">
        <v>33</v>
      </c>
      <c r="E191" s="1">
        <v>45136</v>
      </c>
      <c r="F191" s="1">
        <v>45140</v>
      </c>
      <c r="G191">
        <v>23.5</v>
      </c>
      <c r="H191">
        <v>261.49</v>
      </c>
      <c r="I191" t="s">
        <v>16</v>
      </c>
      <c r="J191">
        <v>1634</v>
      </c>
      <c r="K191">
        <v>4</v>
      </c>
    </row>
    <row r="192" spans="1:11">
      <c r="A192" t="s">
        <v>239</v>
      </c>
      <c r="B192" t="s">
        <v>24</v>
      </c>
      <c r="C192" t="s">
        <v>14</v>
      </c>
      <c r="D192" t="s">
        <v>60</v>
      </c>
      <c r="E192" s="1">
        <v>44976</v>
      </c>
      <c r="F192" s="1">
        <v>44982</v>
      </c>
      <c r="G192">
        <v>4.5</v>
      </c>
      <c r="H192">
        <v>277.56</v>
      </c>
      <c r="I192" t="s">
        <v>16</v>
      </c>
      <c r="J192">
        <v>2411</v>
      </c>
      <c r="K192">
        <v>6</v>
      </c>
    </row>
    <row r="193" spans="1:11">
      <c r="A193" t="s">
        <v>240</v>
      </c>
      <c r="B193" t="s">
        <v>50</v>
      </c>
      <c r="C193" t="s">
        <v>41</v>
      </c>
      <c r="D193" t="s">
        <v>15</v>
      </c>
      <c r="E193" s="1">
        <v>44987</v>
      </c>
      <c r="F193" s="1">
        <v>44995</v>
      </c>
      <c r="G193">
        <v>11.9</v>
      </c>
      <c r="I193" t="s">
        <v>16</v>
      </c>
      <c r="J193">
        <v>2481</v>
      </c>
      <c r="K193">
        <v>8</v>
      </c>
    </row>
    <row r="194" spans="1:11">
      <c r="A194" t="s">
        <v>241</v>
      </c>
      <c r="B194" t="s">
        <v>50</v>
      </c>
      <c r="C194" t="s">
        <v>41</v>
      </c>
      <c r="D194" t="s">
        <v>33</v>
      </c>
      <c r="E194" s="1">
        <v>45270</v>
      </c>
      <c r="F194" s="1">
        <v>45275</v>
      </c>
      <c r="G194">
        <v>26.5</v>
      </c>
      <c r="H194">
        <v>345.27</v>
      </c>
      <c r="I194" t="s">
        <v>16</v>
      </c>
      <c r="J194">
        <v>2052</v>
      </c>
      <c r="K194">
        <v>5</v>
      </c>
    </row>
    <row r="195" spans="1:11">
      <c r="A195" t="s">
        <v>242</v>
      </c>
      <c r="B195" t="s">
        <v>52</v>
      </c>
      <c r="C195" t="s">
        <v>29</v>
      </c>
      <c r="D195" t="s">
        <v>43</v>
      </c>
      <c r="E195" s="1">
        <v>45236</v>
      </c>
      <c r="F195" s="1">
        <v>45244</v>
      </c>
      <c r="G195">
        <v>12.8</v>
      </c>
      <c r="H195">
        <v>378.16</v>
      </c>
      <c r="I195" t="s">
        <v>16</v>
      </c>
      <c r="J195">
        <v>2465</v>
      </c>
      <c r="K195">
        <v>8</v>
      </c>
    </row>
    <row r="196" spans="1:11">
      <c r="A196" t="s">
        <v>243</v>
      </c>
      <c r="B196" t="s">
        <v>21</v>
      </c>
      <c r="C196" t="s">
        <v>45</v>
      </c>
      <c r="D196" t="s">
        <v>19</v>
      </c>
      <c r="E196" s="1">
        <v>44976</v>
      </c>
      <c r="F196" s="1">
        <v>44981</v>
      </c>
      <c r="G196">
        <v>29.3</v>
      </c>
      <c r="H196">
        <v>206.8</v>
      </c>
      <c r="I196" t="s">
        <v>16</v>
      </c>
      <c r="J196">
        <v>1213</v>
      </c>
      <c r="K196">
        <v>5</v>
      </c>
    </row>
    <row r="197" spans="1:11">
      <c r="A197" t="s">
        <v>244</v>
      </c>
      <c r="B197" t="s">
        <v>21</v>
      </c>
      <c r="C197" t="s">
        <v>22</v>
      </c>
      <c r="D197" t="s">
        <v>43</v>
      </c>
      <c r="E197" s="1">
        <v>45060</v>
      </c>
      <c r="F197" s="1">
        <v>45064</v>
      </c>
      <c r="G197">
        <v>15.5</v>
      </c>
      <c r="H197">
        <v>174.55</v>
      </c>
      <c r="I197" t="s">
        <v>16</v>
      </c>
      <c r="J197">
        <v>1247</v>
      </c>
      <c r="K197">
        <v>4</v>
      </c>
    </row>
    <row r="198" spans="1:11">
      <c r="A198" t="s">
        <v>245</v>
      </c>
      <c r="B198" t="s">
        <v>28</v>
      </c>
      <c r="C198" t="s">
        <v>32</v>
      </c>
      <c r="D198" t="s">
        <v>26</v>
      </c>
      <c r="E198" s="1">
        <v>45215</v>
      </c>
      <c r="F198" s="1">
        <v>45221</v>
      </c>
      <c r="G198">
        <v>19</v>
      </c>
      <c r="H198">
        <v>321.04000000000002</v>
      </c>
      <c r="I198" t="s">
        <v>61</v>
      </c>
      <c r="J198">
        <v>2278</v>
      </c>
      <c r="K198">
        <v>6</v>
      </c>
    </row>
    <row r="199" spans="1:11">
      <c r="A199" t="s">
        <v>246</v>
      </c>
      <c r="B199" t="s">
        <v>24</v>
      </c>
      <c r="C199" t="s">
        <v>14</v>
      </c>
      <c r="D199" t="s">
        <v>60</v>
      </c>
      <c r="E199" s="1">
        <v>45076</v>
      </c>
      <c r="F199" s="1">
        <v>45084</v>
      </c>
      <c r="G199">
        <v>15.3</v>
      </c>
      <c r="H199">
        <v>300.44</v>
      </c>
      <c r="I199" t="s">
        <v>48</v>
      </c>
      <c r="J199">
        <v>2406</v>
      </c>
      <c r="K199">
        <v>7</v>
      </c>
    </row>
    <row r="200" spans="1:11">
      <c r="A200" t="s">
        <v>247</v>
      </c>
      <c r="B200" t="s">
        <v>24</v>
      </c>
      <c r="C200" t="s">
        <v>82</v>
      </c>
      <c r="D200" t="s">
        <v>15</v>
      </c>
      <c r="E200" s="1">
        <v>45122</v>
      </c>
      <c r="F200" s="1">
        <v>45126</v>
      </c>
      <c r="G200">
        <v>4.2</v>
      </c>
      <c r="H200">
        <v>208.73</v>
      </c>
      <c r="I200" t="s">
        <v>16</v>
      </c>
      <c r="J200">
        <v>1596</v>
      </c>
      <c r="K200">
        <v>4</v>
      </c>
    </row>
    <row r="201" spans="1:11">
      <c r="A201" t="s">
        <v>248</v>
      </c>
      <c r="B201" t="s">
        <v>40</v>
      </c>
      <c r="C201" t="s">
        <v>14</v>
      </c>
      <c r="D201" t="s">
        <v>26</v>
      </c>
      <c r="E201" s="1">
        <v>44957</v>
      </c>
      <c r="F201" s="1">
        <v>44960</v>
      </c>
      <c r="G201">
        <v>20.100000000000001</v>
      </c>
      <c r="H201">
        <v>169.98</v>
      </c>
      <c r="I201" t="s">
        <v>16</v>
      </c>
      <c r="J201">
        <v>1108</v>
      </c>
      <c r="K201">
        <v>3</v>
      </c>
    </row>
    <row r="202" spans="1:11">
      <c r="A202" t="s">
        <v>249</v>
      </c>
      <c r="B202" t="s">
        <v>21</v>
      </c>
      <c r="C202" t="s">
        <v>37</v>
      </c>
      <c r="D202" t="s">
        <v>43</v>
      </c>
      <c r="E202" s="1">
        <v>45288</v>
      </c>
      <c r="F202" s="1">
        <v>45294</v>
      </c>
      <c r="G202">
        <v>9.6</v>
      </c>
      <c r="H202">
        <v>195.3</v>
      </c>
      <c r="I202" t="s">
        <v>16</v>
      </c>
      <c r="J202">
        <v>1380</v>
      </c>
      <c r="K202">
        <v>6</v>
      </c>
    </row>
    <row r="203" spans="1:11">
      <c r="A203" t="s">
        <v>250</v>
      </c>
      <c r="B203" t="s">
        <v>57</v>
      </c>
      <c r="C203" t="s">
        <v>29</v>
      </c>
      <c r="D203" t="s">
        <v>15</v>
      </c>
      <c r="E203" s="1">
        <v>45013</v>
      </c>
      <c r="F203" s="1">
        <v>45018</v>
      </c>
      <c r="G203">
        <v>5.3</v>
      </c>
      <c r="H203">
        <v>197.9</v>
      </c>
      <c r="I203" t="s">
        <v>16</v>
      </c>
      <c r="J203">
        <v>1605</v>
      </c>
      <c r="K203">
        <v>5</v>
      </c>
    </row>
    <row r="204" spans="1:11">
      <c r="A204" t="s">
        <v>251</v>
      </c>
      <c r="B204" t="s">
        <v>21</v>
      </c>
      <c r="C204" t="s">
        <v>18</v>
      </c>
      <c r="D204" t="s">
        <v>60</v>
      </c>
      <c r="E204" s="1">
        <v>45269</v>
      </c>
      <c r="F204" s="1">
        <v>45283</v>
      </c>
      <c r="G204">
        <v>10.8</v>
      </c>
      <c r="H204">
        <v>232.88</v>
      </c>
      <c r="I204" t="s">
        <v>48</v>
      </c>
      <c r="J204">
        <v>1504</v>
      </c>
      <c r="K204">
        <v>4</v>
      </c>
    </row>
    <row r="205" spans="1:11">
      <c r="A205" t="s">
        <v>252</v>
      </c>
      <c r="B205" t="s">
        <v>28</v>
      </c>
      <c r="C205" t="s">
        <v>47</v>
      </c>
      <c r="D205" t="s">
        <v>19</v>
      </c>
      <c r="E205" s="1">
        <v>44957</v>
      </c>
      <c r="F205" s="1">
        <v>44962</v>
      </c>
      <c r="G205">
        <v>61.1</v>
      </c>
      <c r="H205">
        <v>350.67</v>
      </c>
      <c r="I205" t="s">
        <v>16</v>
      </c>
      <c r="J205">
        <v>2138</v>
      </c>
      <c r="K205">
        <v>5</v>
      </c>
    </row>
    <row r="206" spans="1:11">
      <c r="A206" t="s">
        <v>253</v>
      </c>
      <c r="B206" t="s">
        <v>40</v>
      </c>
      <c r="C206" t="s">
        <v>32</v>
      </c>
      <c r="D206" t="s">
        <v>26</v>
      </c>
      <c r="E206" s="1">
        <v>45185</v>
      </c>
      <c r="F206" s="1">
        <v>45197</v>
      </c>
      <c r="G206">
        <v>20.100000000000001</v>
      </c>
      <c r="H206">
        <v>112.36</v>
      </c>
      <c r="I206" t="s">
        <v>48</v>
      </c>
      <c r="J206">
        <v>754</v>
      </c>
      <c r="K206">
        <v>3</v>
      </c>
    </row>
    <row r="207" spans="1:11">
      <c r="A207" t="s">
        <v>254</v>
      </c>
      <c r="B207" t="s">
        <v>52</v>
      </c>
      <c r="C207" t="s">
        <v>71</v>
      </c>
      <c r="D207" t="s">
        <v>60</v>
      </c>
      <c r="E207" s="1">
        <v>45001</v>
      </c>
      <c r="G207">
        <v>27.9</v>
      </c>
      <c r="H207">
        <v>65.87</v>
      </c>
      <c r="I207" t="s">
        <v>16</v>
      </c>
      <c r="J207">
        <v>320</v>
      </c>
      <c r="K207">
        <v>2</v>
      </c>
    </row>
    <row r="208" spans="1:11">
      <c r="A208" t="s">
        <v>255</v>
      </c>
      <c r="B208" t="s">
        <v>21</v>
      </c>
      <c r="C208" t="s">
        <v>22</v>
      </c>
      <c r="D208" t="s">
        <v>43</v>
      </c>
      <c r="E208" s="1">
        <v>45001</v>
      </c>
      <c r="F208" s="1">
        <v>45005</v>
      </c>
      <c r="G208">
        <v>22.8</v>
      </c>
      <c r="H208">
        <v>242.14</v>
      </c>
      <c r="I208" t="s">
        <v>16</v>
      </c>
      <c r="J208">
        <v>1657</v>
      </c>
      <c r="K208">
        <v>4</v>
      </c>
    </row>
    <row r="209" spans="1:11">
      <c r="A209" t="s">
        <v>256</v>
      </c>
      <c r="B209" t="s">
        <v>13</v>
      </c>
      <c r="C209" t="s">
        <v>41</v>
      </c>
      <c r="D209" t="s">
        <v>19</v>
      </c>
      <c r="E209" s="1">
        <v>45233</v>
      </c>
      <c r="F209" s="1">
        <v>45237</v>
      </c>
      <c r="G209">
        <v>14.7</v>
      </c>
      <c r="H209">
        <v>285.58999999999997</v>
      </c>
      <c r="I209" t="s">
        <v>16</v>
      </c>
      <c r="J209">
        <v>1423</v>
      </c>
      <c r="K209">
        <v>4</v>
      </c>
    </row>
    <row r="210" spans="1:11">
      <c r="A210" t="s">
        <v>257</v>
      </c>
      <c r="B210" t="s">
        <v>21</v>
      </c>
      <c r="C210" t="s">
        <v>25</v>
      </c>
      <c r="D210" t="s">
        <v>33</v>
      </c>
      <c r="E210" s="1">
        <v>45181</v>
      </c>
      <c r="F210" s="1">
        <v>45186</v>
      </c>
      <c r="G210">
        <v>32.1</v>
      </c>
      <c r="H210">
        <v>193.72</v>
      </c>
      <c r="I210" t="s">
        <v>16</v>
      </c>
      <c r="J210">
        <v>1135</v>
      </c>
      <c r="K210">
        <v>5</v>
      </c>
    </row>
    <row r="211" spans="1:11">
      <c r="A211" t="s">
        <v>258</v>
      </c>
      <c r="B211" t="s">
        <v>24</v>
      </c>
      <c r="C211" t="s">
        <v>53</v>
      </c>
      <c r="D211" t="s">
        <v>19</v>
      </c>
      <c r="E211" s="1">
        <v>45064</v>
      </c>
      <c r="F211" s="1">
        <v>45081</v>
      </c>
      <c r="G211">
        <v>8.6999999999999993</v>
      </c>
      <c r="H211">
        <v>121.73</v>
      </c>
      <c r="I211" t="s">
        <v>48</v>
      </c>
      <c r="J211">
        <v>737</v>
      </c>
      <c r="K211">
        <v>4</v>
      </c>
    </row>
    <row r="212" spans="1:11">
      <c r="A212" t="s">
        <v>259</v>
      </c>
      <c r="B212" t="s">
        <v>24</v>
      </c>
      <c r="C212" t="s">
        <v>41</v>
      </c>
      <c r="D212" t="s">
        <v>19</v>
      </c>
      <c r="E212" s="1">
        <v>45224</v>
      </c>
      <c r="F212" s="1">
        <v>45226</v>
      </c>
      <c r="G212">
        <v>33.700000000000003</v>
      </c>
      <c r="H212">
        <v>162.31</v>
      </c>
      <c r="I212" t="s">
        <v>16</v>
      </c>
      <c r="J212">
        <v>796</v>
      </c>
      <c r="K212">
        <v>2</v>
      </c>
    </row>
    <row r="213" spans="1:11">
      <c r="A213" t="s">
        <v>260</v>
      </c>
      <c r="B213" t="s">
        <v>36</v>
      </c>
      <c r="C213" t="s">
        <v>45</v>
      </c>
      <c r="D213" t="s">
        <v>33</v>
      </c>
      <c r="E213" s="1">
        <v>45275</v>
      </c>
      <c r="F213" s="1">
        <v>45277</v>
      </c>
      <c r="G213">
        <v>28.8</v>
      </c>
      <c r="H213">
        <v>96.12</v>
      </c>
      <c r="I213" t="s">
        <v>16</v>
      </c>
      <c r="J213">
        <v>308</v>
      </c>
      <c r="K213">
        <v>2</v>
      </c>
    </row>
    <row r="214" spans="1:11">
      <c r="A214" t="s">
        <v>261</v>
      </c>
      <c r="B214" t="s">
        <v>40</v>
      </c>
      <c r="C214" t="s">
        <v>14</v>
      </c>
      <c r="D214" t="s">
        <v>33</v>
      </c>
      <c r="E214" s="1">
        <v>45275</v>
      </c>
      <c r="F214" s="1">
        <v>45280</v>
      </c>
      <c r="G214">
        <v>9.1</v>
      </c>
      <c r="H214">
        <v>125.92</v>
      </c>
      <c r="I214" t="s">
        <v>68</v>
      </c>
      <c r="J214">
        <v>787</v>
      </c>
      <c r="K214">
        <v>5</v>
      </c>
    </row>
    <row r="215" spans="1:11">
      <c r="A215" t="s">
        <v>262</v>
      </c>
      <c r="B215" t="s">
        <v>31</v>
      </c>
      <c r="C215" t="s">
        <v>82</v>
      </c>
      <c r="D215" t="s">
        <v>38</v>
      </c>
      <c r="E215" s="1">
        <v>45166</v>
      </c>
      <c r="F215" s="1">
        <v>45174</v>
      </c>
      <c r="G215">
        <v>28.5</v>
      </c>
      <c r="H215">
        <v>284.39999999999998</v>
      </c>
      <c r="I215" t="s">
        <v>16</v>
      </c>
      <c r="J215">
        <v>2074</v>
      </c>
      <c r="K215">
        <v>8</v>
      </c>
    </row>
    <row r="216" spans="1:11">
      <c r="A216" t="s">
        <v>263</v>
      </c>
      <c r="B216" t="s">
        <v>40</v>
      </c>
      <c r="C216" t="s">
        <v>45</v>
      </c>
      <c r="D216" t="s">
        <v>19</v>
      </c>
      <c r="E216" s="1">
        <v>45191</v>
      </c>
      <c r="F216" s="1">
        <v>45196</v>
      </c>
      <c r="G216">
        <v>88</v>
      </c>
      <c r="H216">
        <v>297.27999999999997</v>
      </c>
      <c r="I216" t="s">
        <v>16</v>
      </c>
      <c r="J216">
        <v>1145</v>
      </c>
      <c r="K216">
        <v>5</v>
      </c>
    </row>
    <row r="217" spans="1:11">
      <c r="A217" t="s">
        <v>264</v>
      </c>
      <c r="B217" t="s">
        <v>57</v>
      </c>
      <c r="C217" t="s">
        <v>58</v>
      </c>
      <c r="D217" t="s">
        <v>26</v>
      </c>
      <c r="E217" s="1">
        <v>45084</v>
      </c>
      <c r="F217" s="1">
        <v>45089</v>
      </c>
      <c r="G217">
        <v>21.9</v>
      </c>
      <c r="I217" t="s">
        <v>16</v>
      </c>
      <c r="J217">
        <v>1719</v>
      </c>
      <c r="K217">
        <v>5</v>
      </c>
    </row>
    <row r="218" spans="1:11">
      <c r="A218" t="s">
        <v>265</v>
      </c>
      <c r="B218" t="s">
        <v>52</v>
      </c>
      <c r="C218" t="s">
        <v>71</v>
      </c>
      <c r="D218" t="s">
        <v>60</v>
      </c>
      <c r="E218" s="1">
        <v>45142</v>
      </c>
      <c r="F218" s="1">
        <v>45147</v>
      </c>
      <c r="G218">
        <v>24.1</v>
      </c>
      <c r="H218">
        <v>141.81</v>
      </c>
      <c r="I218" t="s">
        <v>16</v>
      </c>
      <c r="J218">
        <v>1082</v>
      </c>
      <c r="K218">
        <v>5</v>
      </c>
    </row>
    <row r="219" spans="1:11">
      <c r="A219" t="s">
        <v>266</v>
      </c>
      <c r="B219" t="s">
        <v>31</v>
      </c>
      <c r="C219" t="s">
        <v>29</v>
      </c>
      <c r="D219" t="s">
        <v>33</v>
      </c>
      <c r="E219" s="1">
        <v>45283</v>
      </c>
      <c r="F219" s="1">
        <v>45286</v>
      </c>
      <c r="G219">
        <v>11.9</v>
      </c>
      <c r="H219">
        <v>192.63</v>
      </c>
      <c r="I219" t="s">
        <v>16</v>
      </c>
      <c r="J219">
        <v>1204</v>
      </c>
      <c r="K219">
        <v>3</v>
      </c>
    </row>
    <row r="220" spans="1:11">
      <c r="A220" t="s">
        <v>267</v>
      </c>
      <c r="B220" t="s">
        <v>40</v>
      </c>
      <c r="C220" t="s">
        <v>82</v>
      </c>
      <c r="D220" t="s">
        <v>43</v>
      </c>
      <c r="E220" s="1">
        <v>45173</v>
      </c>
      <c r="F220" s="1">
        <v>45176</v>
      </c>
      <c r="G220">
        <v>17.899999999999999</v>
      </c>
      <c r="H220">
        <v>133.27000000000001</v>
      </c>
      <c r="I220" t="s">
        <v>16</v>
      </c>
      <c r="J220">
        <v>1030</v>
      </c>
      <c r="K220">
        <v>3</v>
      </c>
    </row>
    <row r="221" spans="1:11">
      <c r="A221" t="s">
        <v>268</v>
      </c>
      <c r="B221" t="s">
        <v>24</v>
      </c>
      <c r="C221" t="s">
        <v>29</v>
      </c>
      <c r="D221" t="s">
        <v>38</v>
      </c>
      <c r="E221" s="1">
        <v>45064</v>
      </c>
      <c r="F221" s="1">
        <v>45066</v>
      </c>
      <c r="G221">
        <v>38.1</v>
      </c>
      <c r="H221">
        <v>120.04</v>
      </c>
      <c r="I221" t="s">
        <v>16</v>
      </c>
      <c r="J221">
        <v>603</v>
      </c>
      <c r="K221">
        <v>2</v>
      </c>
    </row>
    <row r="222" spans="1:11">
      <c r="A222" t="s">
        <v>269</v>
      </c>
      <c r="B222" t="s">
        <v>31</v>
      </c>
      <c r="C222" t="s">
        <v>47</v>
      </c>
      <c r="D222" t="s">
        <v>15</v>
      </c>
      <c r="E222" s="1">
        <v>45121</v>
      </c>
      <c r="F222" s="1">
        <v>45126</v>
      </c>
      <c r="G222">
        <v>4.9000000000000004</v>
      </c>
      <c r="H222">
        <v>203.03</v>
      </c>
      <c r="I222" t="s">
        <v>16</v>
      </c>
      <c r="J222">
        <v>1660</v>
      </c>
      <c r="K222">
        <v>5</v>
      </c>
    </row>
    <row r="223" spans="1:11">
      <c r="A223" t="s">
        <v>270</v>
      </c>
      <c r="B223" t="s">
        <v>36</v>
      </c>
      <c r="C223" t="s">
        <v>45</v>
      </c>
      <c r="D223" t="s">
        <v>33</v>
      </c>
      <c r="E223" s="1">
        <v>45175</v>
      </c>
      <c r="F223" s="1">
        <v>45178</v>
      </c>
      <c r="G223">
        <v>86.2</v>
      </c>
      <c r="H223">
        <v>210.89</v>
      </c>
      <c r="I223" t="s">
        <v>16</v>
      </c>
      <c r="J223">
        <v>862</v>
      </c>
      <c r="K223">
        <v>3</v>
      </c>
    </row>
    <row r="224" spans="1:11">
      <c r="A224" t="s">
        <v>271</v>
      </c>
      <c r="B224" t="s">
        <v>36</v>
      </c>
      <c r="C224" t="s">
        <v>29</v>
      </c>
      <c r="D224" t="s">
        <v>15</v>
      </c>
      <c r="E224" s="1">
        <v>45105</v>
      </c>
      <c r="F224" s="1">
        <v>45110</v>
      </c>
      <c r="G224">
        <v>12.6</v>
      </c>
      <c r="H224">
        <v>176.77</v>
      </c>
      <c r="I224" t="s">
        <v>16</v>
      </c>
      <c r="J224">
        <v>1322</v>
      </c>
      <c r="K224">
        <v>5</v>
      </c>
    </row>
    <row r="225" spans="1:11">
      <c r="A225" t="s">
        <v>272</v>
      </c>
      <c r="B225" t="s">
        <v>40</v>
      </c>
      <c r="C225" t="s">
        <v>82</v>
      </c>
      <c r="D225" t="s">
        <v>15</v>
      </c>
      <c r="E225" s="1">
        <v>45096</v>
      </c>
      <c r="F225" s="1">
        <v>45099</v>
      </c>
      <c r="G225">
        <v>33.799999999999997</v>
      </c>
      <c r="H225">
        <v>161.44999999999999</v>
      </c>
      <c r="I225" t="s">
        <v>16</v>
      </c>
      <c r="J225">
        <v>1030</v>
      </c>
      <c r="K225">
        <v>3</v>
      </c>
    </row>
    <row r="226" spans="1:11">
      <c r="A226" t="s">
        <v>273</v>
      </c>
      <c r="B226" t="s">
        <v>13</v>
      </c>
      <c r="C226" t="s">
        <v>58</v>
      </c>
      <c r="D226" t="s">
        <v>33</v>
      </c>
      <c r="E226" s="1">
        <v>45044</v>
      </c>
      <c r="F226" s="1">
        <v>45053</v>
      </c>
      <c r="G226">
        <v>14.1</v>
      </c>
      <c r="H226">
        <v>87.12</v>
      </c>
      <c r="I226" t="s">
        <v>48</v>
      </c>
      <c r="J226">
        <v>573</v>
      </c>
      <c r="K226">
        <v>3</v>
      </c>
    </row>
    <row r="227" spans="1:11">
      <c r="A227" t="s">
        <v>274</v>
      </c>
      <c r="B227" t="s">
        <v>24</v>
      </c>
      <c r="C227" t="s">
        <v>37</v>
      </c>
      <c r="D227" t="s">
        <v>38</v>
      </c>
      <c r="E227" s="1">
        <v>45182</v>
      </c>
      <c r="F227" s="1">
        <v>45187</v>
      </c>
      <c r="G227">
        <v>19.3</v>
      </c>
      <c r="H227">
        <v>98.54</v>
      </c>
      <c r="I227" t="s">
        <v>48</v>
      </c>
      <c r="J227">
        <v>585</v>
      </c>
      <c r="K227">
        <v>1</v>
      </c>
    </row>
    <row r="228" spans="1:11">
      <c r="A228" t="s">
        <v>275</v>
      </c>
      <c r="B228" t="s">
        <v>40</v>
      </c>
      <c r="C228" t="s">
        <v>53</v>
      </c>
      <c r="D228" t="s">
        <v>60</v>
      </c>
      <c r="E228" s="1">
        <v>45270</v>
      </c>
      <c r="F228" s="1">
        <v>45273</v>
      </c>
      <c r="G228">
        <v>16.600000000000001</v>
      </c>
      <c r="H228">
        <v>219.37</v>
      </c>
      <c r="I228" t="s">
        <v>16</v>
      </c>
      <c r="J228">
        <v>1469</v>
      </c>
      <c r="K228">
        <v>3</v>
      </c>
    </row>
    <row r="229" spans="1:11">
      <c r="A229" t="s">
        <v>276</v>
      </c>
      <c r="B229" t="s">
        <v>50</v>
      </c>
      <c r="C229" t="s">
        <v>32</v>
      </c>
      <c r="D229" t="s">
        <v>26</v>
      </c>
      <c r="E229" s="1">
        <v>45259</v>
      </c>
      <c r="F229" s="1">
        <v>45265</v>
      </c>
      <c r="G229">
        <v>16.100000000000001</v>
      </c>
      <c r="H229">
        <v>161.74</v>
      </c>
      <c r="I229" t="s">
        <v>16</v>
      </c>
      <c r="J229">
        <v>1053</v>
      </c>
      <c r="K229">
        <v>6</v>
      </c>
    </row>
    <row r="230" spans="1:11">
      <c r="A230" t="s">
        <v>277</v>
      </c>
      <c r="B230" t="s">
        <v>50</v>
      </c>
      <c r="C230" t="s">
        <v>47</v>
      </c>
      <c r="D230" t="s">
        <v>19</v>
      </c>
      <c r="E230" s="1">
        <v>45057</v>
      </c>
      <c r="F230" s="1">
        <v>45060</v>
      </c>
      <c r="G230">
        <v>10.8</v>
      </c>
      <c r="H230">
        <v>188.69</v>
      </c>
      <c r="I230" t="s">
        <v>63</v>
      </c>
      <c r="J230">
        <v>1329</v>
      </c>
      <c r="K230">
        <v>3</v>
      </c>
    </row>
    <row r="231" spans="1:11">
      <c r="A231" t="s">
        <v>278</v>
      </c>
      <c r="B231" t="s">
        <v>57</v>
      </c>
      <c r="C231" t="s">
        <v>37</v>
      </c>
      <c r="D231" t="s">
        <v>38</v>
      </c>
      <c r="E231" s="1">
        <v>44998</v>
      </c>
      <c r="F231" s="1">
        <v>44999</v>
      </c>
      <c r="G231">
        <v>8.8000000000000007</v>
      </c>
      <c r="H231">
        <v>27.23</v>
      </c>
      <c r="I231" t="s">
        <v>16</v>
      </c>
      <c r="J231">
        <v>156</v>
      </c>
      <c r="K231">
        <v>1</v>
      </c>
    </row>
    <row r="232" spans="1:11">
      <c r="A232" t="s">
        <v>279</v>
      </c>
      <c r="B232" t="s">
        <v>24</v>
      </c>
      <c r="C232" t="s">
        <v>37</v>
      </c>
      <c r="D232" t="s">
        <v>38</v>
      </c>
      <c r="E232" s="1">
        <v>44986</v>
      </c>
      <c r="F232" s="1">
        <v>44991</v>
      </c>
      <c r="G232">
        <v>12.1</v>
      </c>
      <c r="H232">
        <v>247.5</v>
      </c>
      <c r="I232" t="s">
        <v>48</v>
      </c>
      <c r="J232">
        <v>1760</v>
      </c>
      <c r="K232">
        <v>4</v>
      </c>
    </row>
    <row r="233" spans="1:11">
      <c r="A233" t="s">
        <v>280</v>
      </c>
      <c r="B233" t="s">
        <v>36</v>
      </c>
      <c r="C233" t="s">
        <v>41</v>
      </c>
      <c r="D233" t="s">
        <v>33</v>
      </c>
      <c r="E233" s="1">
        <v>45168</v>
      </c>
      <c r="F233" s="1">
        <v>45181</v>
      </c>
      <c r="G233">
        <v>19.8</v>
      </c>
      <c r="H233">
        <v>63.39</v>
      </c>
      <c r="I233" t="s">
        <v>48</v>
      </c>
      <c r="J233">
        <v>283</v>
      </c>
      <c r="K233">
        <v>2</v>
      </c>
    </row>
    <row r="234" spans="1:11">
      <c r="A234" t="s">
        <v>281</v>
      </c>
      <c r="B234" t="s">
        <v>40</v>
      </c>
      <c r="C234" t="s">
        <v>22</v>
      </c>
      <c r="D234" t="s">
        <v>26</v>
      </c>
      <c r="E234" s="1">
        <v>45284</v>
      </c>
      <c r="F234" s="1">
        <v>45287</v>
      </c>
      <c r="G234">
        <v>22.2</v>
      </c>
      <c r="H234">
        <v>81.13</v>
      </c>
      <c r="I234" t="s">
        <v>16</v>
      </c>
      <c r="J234">
        <v>397</v>
      </c>
      <c r="K234">
        <v>3</v>
      </c>
    </row>
    <row r="235" spans="1:11">
      <c r="A235" t="s">
        <v>282</v>
      </c>
      <c r="B235" t="s">
        <v>31</v>
      </c>
      <c r="C235" t="s">
        <v>71</v>
      </c>
      <c r="D235" t="s">
        <v>38</v>
      </c>
      <c r="E235" s="1">
        <v>45150</v>
      </c>
      <c r="F235" s="1">
        <v>45154</v>
      </c>
      <c r="G235">
        <v>18.5</v>
      </c>
      <c r="H235">
        <v>109.5</v>
      </c>
      <c r="I235" t="s">
        <v>16</v>
      </c>
      <c r="J235">
        <v>816</v>
      </c>
      <c r="K235">
        <v>4</v>
      </c>
    </row>
    <row r="236" spans="1:11">
      <c r="A236" t="s">
        <v>283</v>
      </c>
      <c r="B236" t="s">
        <v>40</v>
      </c>
      <c r="C236" t="s">
        <v>71</v>
      </c>
      <c r="D236" t="s">
        <v>43</v>
      </c>
      <c r="E236" s="1">
        <v>45044</v>
      </c>
      <c r="F236" s="1">
        <v>45047</v>
      </c>
      <c r="G236">
        <v>10</v>
      </c>
      <c r="H236">
        <v>96.03</v>
      </c>
      <c r="I236" t="s">
        <v>68</v>
      </c>
      <c r="J236">
        <v>715</v>
      </c>
      <c r="K236">
        <v>3</v>
      </c>
    </row>
    <row r="237" spans="1:11">
      <c r="A237" t="s">
        <v>284</v>
      </c>
      <c r="B237" t="s">
        <v>52</v>
      </c>
      <c r="C237" t="s">
        <v>53</v>
      </c>
      <c r="D237" t="s">
        <v>15</v>
      </c>
      <c r="E237" s="1">
        <v>45070</v>
      </c>
      <c r="F237" s="1">
        <v>45074</v>
      </c>
      <c r="G237">
        <v>25.9</v>
      </c>
      <c r="H237">
        <v>285.87</v>
      </c>
      <c r="I237" t="s">
        <v>16</v>
      </c>
      <c r="J237">
        <v>1956</v>
      </c>
      <c r="K237">
        <v>4</v>
      </c>
    </row>
    <row r="238" spans="1:11">
      <c r="A238" t="s">
        <v>285</v>
      </c>
      <c r="B238" t="s">
        <v>24</v>
      </c>
      <c r="C238" t="s">
        <v>45</v>
      </c>
      <c r="D238" t="s">
        <v>38</v>
      </c>
      <c r="E238" s="1">
        <v>45137</v>
      </c>
      <c r="F238" s="1">
        <v>45142</v>
      </c>
      <c r="G238">
        <v>22.8</v>
      </c>
      <c r="H238">
        <v>277.89999999999998</v>
      </c>
      <c r="I238" t="s">
        <v>16</v>
      </c>
      <c r="J238">
        <v>2187</v>
      </c>
      <c r="K238">
        <v>5</v>
      </c>
    </row>
    <row r="239" spans="1:11">
      <c r="A239" t="s">
        <v>286</v>
      </c>
      <c r="B239" t="s">
        <v>52</v>
      </c>
      <c r="C239" t="s">
        <v>25</v>
      </c>
      <c r="D239" t="s">
        <v>60</v>
      </c>
      <c r="E239" s="1">
        <v>45183</v>
      </c>
      <c r="F239" s="1">
        <v>45189</v>
      </c>
      <c r="G239">
        <v>85.5</v>
      </c>
      <c r="H239">
        <v>345.35</v>
      </c>
      <c r="I239" t="s">
        <v>16</v>
      </c>
      <c r="J239">
        <v>2172</v>
      </c>
      <c r="K239">
        <v>6</v>
      </c>
    </row>
    <row r="240" spans="1:11">
      <c r="A240" t="s">
        <v>287</v>
      </c>
      <c r="B240" t="s">
        <v>13</v>
      </c>
      <c r="C240" t="s">
        <v>82</v>
      </c>
      <c r="D240" t="s">
        <v>26</v>
      </c>
      <c r="E240" s="1">
        <v>45163</v>
      </c>
      <c r="F240" s="1">
        <v>45166</v>
      </c>
      <c r="G240">
        <v>31.8</v>
      </c>
      <c r="H240">
        <v>125.07</v>
      </c>
      <c r="I240" t="s">
        <v>16</v>
      </c>
      <c r="J240">
        <v>816</v>
      </c>
      <c r="K240">
        <v>3</v>
      </c>
    </row>
    <row r="241" spans="1:11">
      <c r="A241" t="s">
        <v>288</v>
      </c>
      <c r="B241" t="s">
        <v>21</v>
      </c>
      <c r="C241" t="s">
        <v>18</v>
      </c>
      <c r="D241" t="s">
        <v>19</v>
      </c>
      <c r="E241" s="1">
        <v>45107</v>
      </c>
      <c r="F241" s="1">
        <v>45114</v>
      </c>
      <c r="G241">
        <v>3.1</v>
      </c>
      <c r="H241">
        <v>185.13</v>
      </c>
      <c r="I241" t="s">
        <v>16</v>
      </c>
      <c r="J241">
        <v>1236</v>
      </c>
      <c r="K241">
        <v>7</v>
      </c>
    </row>
    <row r="242" spans="1:11">
      <c r="A242" t="s">
        <v>289</v>
      </c>
      <c r="B242" t="s">
        <v>28</v>
      </c>
      <c r="C242" t="s">
        <v>32</v>
      </c>
      <c r="D242" t="s">
        <v>38</v>
      </c>
      <c r="E242" s="1">
        <v>45101</v>
      </c>
      <c r="F242" s="1">
        <v>45106</v>
      </c>
      <c r="G242">
        <v>54.9</v>
      </c>
      <c r="H242">
        <v>319.88</v>
      </c>
      <c r="I242" t="s">
        <v>16</v>
      </c>
      <c r="J242">
        <v>1902</v>
      </c>
      <c r="K242">
        <v>5</v>
      </c>
    </row>
    <row r="243" spans="1:11">
      <c r="A243" t="s">
        <v>290</v>
      </c>
      <c r="B243" t="s">
        <v>50</v>
      </c>
      <c r="C243" t="s">
        <v>82</v>
      </c>
      <c r="D243" t="s">
        <v>19</v>
      </c>
      <c r="E243" s="1">
        <v>45210</v>
      </c>
      <c r="F243" s="1">
        <v>45214</v>
      </c>
      <c r="G243">
        <v>17.600000000000001</v>
      </c>
      <c r="H243">
        <v>167.63</v>
      </c>
      <c r="I243" t="s">
        <v>16</v>
      </c>
      <c r="J243">
        <v>1038</v>
      </c>
      <c r="K243">
        <v>4</v>
      </c>
    </row>
    <row r="244" spans="1:11">
      <c r="A244" t="s">
        <v>291</v>
      </c>
      <c r="B244" t="s">
        <v>50</v>
      </c>
      <c r="C244" t="s">
        <v>22</v>
      </c>
      <c r="D244" t="s">
        <v>43</v>
      </c>
      <c r="E244" s="1">
        <v>45070</v>
      </c>
      <c r="F244" s="1">
        <v>45074</v>
      </c>
      <c r="G244">
        <v>8.6999999999999993</v>
      </c>
      <c r="H244">
        <v>188.16</v>
      </c>
      <c r="I244" t="s">
        <v>16</v>
      </c>
      <c r="J244">
        <v>1590</v>
      </c>
      <c r="K244">
        <v>4</v>
      </c>
    </row>
    <row r="245" spans="1:11">
      <c r="A245" t="s">
        <v>292</v>
      </c>
      <c r="B245" t="s">
        <v>31</v>
      </c>
      <c r="C245" t="s">
        <v>45</v>
      </c>
      <c r="D245" t="s">
        <v>19</v>
      </c>
      <c r="E245" s="1">
        <v>45150</v>
      </c>
      <c r="F245" s="1">
        <v>45155</v>
      </c>
      <c r="G245">
        <v>11.8</v>
      </c>
      <c r="H245">
        <v>92.57</v>
      </c>
      <c r="I245" t="s">
        <v>63</v>
      </c>
      <c r="J245">
        <v>590</v>
      </c>
      <c r="K245">
        <v>5</v>
      </c>
    </row>
    <row r="246" spans="1:11">
      <c r="A246" t="s">
        <v>293</v>
      </c>
      <c r="B246" t="s">
        <v>40</v>
      </c>
      <c r="C246" t="s">
        <v>22</v>
      </c>
      <c r="D246" t="s">
        <v>43</v>
      </c>
      <c r="E246" s="1">
        <v>45019</v>
      </c>
      <c r="F246" s="1">
        <v>45023</v>
      </c>
      <c r="G246">
        <v>44</v>
      </c>
      <c r="H246">
        <v>167.48</v>
      </c>
      <c r="I246" t="s">
        <v>16</v>
      </c>
      <c r="J246">
        <v>1105</v>
      </c>
      <c r="K246">
        <v>4</v>
      </c>
    </row>
    <row r="247" spans="1:11">
      <c r="A247" t="s">
        <v>294</v>
      </c>
      <c r="B247" t="s">
        <v>13</v>
      </c>
      <c r="C247" t="s">
        <v>58</v>
      </c>
      <c r="D247" t="s">
        <v>60</v>
      </c>
      <c r="E247" s="1">
        <v>44974</v>
      </c>
      <c r="F247" s="1">
        <v>44977</v>
      </c>
      <c r="G247">
        <v>16.7</v>
      </c>
      <c r="H247">
        <v>152.32</v>
      </c>
      <c r="I247" t="s">
        <v>16</v>
      </c>
      <c r="J247">
        <v>1153</v>
      </c>
      <c r="K247">
        <v>3</v>
      </c>
    </row>
    <row r="248" spans="1:11">
      <c r="A248" t="s">
        <v>295</v>
      </c>
      <c r="B248" t="s">
        <v>21</v>
      </c>
      <c r="C248" t="s">
        <v>58</v>
      </c>
      <c r="D248" t="s">
        <v>60</v>
      </c>
      <c r="E248" s="1">
        <v>45005</v>
      </c>
      <c r="F248" s="1">
        <v>45008</v>
      </c>
      <c r="G248">
        <v>21.9</v>
      </c>
      <c r="H248">
        <v>167.58</v>
      </c>
      <c r="I248" t="s">
        <v>16</v>
      </c>
      <c r="J248">
        <v>1124</v>
      </c>
      <c r="K248">
        <v>3</v>
      </c>
    </row>
    <row r="249" spans="1:11">
      <c r="A249" t="s">
        <v>296</v>
      </c>
      <c r="B249" t="s">
        <v>21</v>
      </c>
      <c r="C249" t="s">
        <v>32</v>
      </c>
      <c r="D249" t="s">
        <v>43</v>
      </c>
      <c r="E249" s="1">
        <v>44985</v>
      </c>
      <c r="F249" s="1">
        <v>44990</v>
      </c>
      <c r="G249">
        <v>3.6</v>
      </c>
      <c r="H249">
        <v>230.21</v>
      </c>
      <c r="I249" t="s">
        <v>16</v>
      </c>
      <c r="J249">
        <v>2074</v>
      </c>
      <c r="K249">
        <v>5</v>
      </c>
    </row>
    <row r="250" spans="1:11">
      <c r="A250" t="s">
        <v>297</v>
      </c>
      <c r="B250" t="s">
        <v>40</v>
      </c>
      <c r="C250" t="s">
        <v>25</v>
      </c>
      <c r="D250" t="s">
        <v>15</v>
      </c>
      <c r="E250" s="1">
        <v>45288</v>
      </c>
      <c r="F250" s="1">
        <v>45290</v>
      </c>
      <c r="G250">
        <v>32.700000000000003</v>
      </c>
      <c r="H250">
        <v>97.49</v>
      </c>
      <c r="I250" t="s">
        <v>16</v>
      </c>
      <c r="J250">
        <v>302</v>
      </c>
      <c r="K250">
        <v>2</v>
      </c>
    </row>
    <row r="251" spans="1:11">
      <c r="A251" t="s">
        <v>298</v>
      </c>
      <c r="B251" t="s">
        <v>57</v>
      </c>
      <c r="C251" t="s">
        <v>45</v>
      </c>
      <c r="D251" t="s">
        <v>60</v>
      </c>
      <c r="E251" s="1">
        <v>45233</v>
      </c>
      <c r="F251" s="1">
        <v>45238</v>
      </c>
      <c r="G251">
        <v>13.6</v>
      </c>
      <c r="H251">
        <v>316.04000000000002</v>
      </c>
      <c r="I251" t="s">
        <v>16</v>
      </c>
      <c r="J251">
        <v>2073</v>
      </c>
      <c r="K251">
        <v>5</v>
      </c>
    </row>
    <row r="252" spans="1:11">
      <c r="A252" t="s">
        <v>299</v>
      </c>
      <c r="B252" t="s">
        <v>52</v>
      </c>
      <c r="C252" t="s">
        <v>37</v>
      </c>
      <c r="D252" t="s">
        <v>38</v>
      </c>
      <c r="E252" s="1">
        <v>44983</v>
      </c>
      <c r="F252" s="1">
        <v>44953</v>
      </c>
      <c r="G252">
        <v>5.5</v>
      </c>
      <c r="H252">
        <v>259.45</v>
      </c>
      <c r="I252" t="s">
        <v>16</v>
      </c>
      <c r="J252">
        <v>2132</v>
      </c>
      <c r="K252">
        <v>7</v>
      </c>
    </row>
    <row r="253" spans="1:11">
      <c r="A253" t="s">
        <v>300</v>
      </c>
      <c r="B253" t="s">
        <v>24</v>
      </c>
      <c r="C253" t="s">
        <v>45</v>
      </c>
      <c r="D253" t="s">
        <v>38</v>
      </c>
      <c r="E253" s="1">
        <v>44987</v>
      </c>
      <c r="F253" s="1">
        <v>44990</v>
      </c>
      <c r="G253">
        <v>27.5</v>
      </c>
      <c r="H253">
        <v>111.16</v>
      </c>
      <c r="I253" t="s">
        <v>16</v>
      </c>
      <c r="J253">
        <v>569</v>
      </c>
      <c r="K253">
        <v>3</v>
      </c>
    </row>
    <row r="254" spans="1:11">
      <c r="A254" t="s">
        <v>301</v>
      </c>
      <c r="B254" t="s">
        <v>24</v>
      </c>
      <c r="C254" t="s">
        <v>71</v>
      </c>
      <c r="D254" t="s">
        <v>15</v>
      </c>
      <c r="E254" s="1">
        <v>45241</v>
      </c>
      <c r="F254" s="1">
        <v>45246</v>
      </c>
      <c r="G254">
        <v>21.5</v>
      </c>
      <c r="H254">
        <v>437.58</v>
      </c>
      <c r="I254" t="s">
        <v>16</v>
      </c>
      <c r="J254">
        <v>2433</v>
      </c>
      <c r="K254">
        <v>5</v>
      </c>
    </row>
    <row r="255" spans="1:11">
      <c r="A255" t="s">
        <v>302</v>
      </c>
      <c r="B255" t="s">
        <v>31</v>
      </c>
      <c r="C255" t="s">
        <v>82</v>
      </c>
      <c r="D255" t="s">
        <v>43</v>
      </c>
      <c r="E255" s="1">
        <v>44941</v>
      </c>
      <c r="F255" s="1">
        <v>44943</v>
      </c>
      <c r="G255">
        <v>24.8</v>
      </c>
      <c r="H255">
        <v>110.65</v>
      </c>
      <c r="I255" t="s">
        <v>16</v>
      </c>
      <c r="J255">
        <v>677</v>
      </c>
      <c r="K255">
        <v>2</v>
      </c>
    </row>
    <row r="256" spans="1:11">
      <c r="A256" t="s">
        <v>303</v>
      </c>
      <c r="B256" t="s">
        <v>24</v>
      </c>
      <c r="C256" t="s">
        <v>37</v>
      </c>
      <c r="D256" t="s">
        <v>43</v>
      </c>
      <c r="E256" s="1">
        <v>44984</v>
      </c>
      <c r="F256" s="1">
        <v>44990</v>
      </c>
      <c r="G256">
        <v>11.2</v>
      </c>
      <c r="H256">
        <v>324.52</v>
      </c>
      <c r="I256" t="s">
        <v>63</v>
      </c>
      <c r="J256">
        <v>2379</v>
      </c>
      <c r="K256">
        <v>6</v>
      </c>
    </row>
    <row r="257" spans="1:11">
      <c r="A257" t="s">
        <v>304</v>
      </c>
      <c r="B257" t="s">
        <v>21</v>
      </c>
      <c r="C257" t="s">
        <v>82</v>
      </c>
      <c r="D257" t="s">
        <v>15</v>
      </c>
      <c r="E257" s="1">
        <v>45241</v>
      </c>
      <c r="F257" s="1">
        <v>45246</v>
      </c>
      <c r="G257">
        <v>17.899999999999999</v>
      </c>
      <c r="H257">
        <v>191.48</v>
      </c>
      <c r="I257" t="s">
        <v>16</v>
      </c>
      <c r="J257">
        <v>984</v>
      </c>
      <c r="K257">
        <v>5</v>
      </c>
    </row>
    <row r="258" spans="1:11">
      <c r="A258" t="s">
        <v>305</v>
      </c>
      <c r="B258" t="s">
        <v>57</v>
      </c>
      <c r="C258" t="s">
        <v>55</v>
      </c>
      <c r="D258" t="s">
        <v>19</v>
      </c>
      <c r="E258" s="1">
        <v>45065</v>
      </c>
      <c r="F258" s="1">
        <v>45068</v>
      </c>
      <c r="G258">
        <v>34.9</v>
      </c>
      <c r="H258">
        <v>102.14</v>
      </c>
      <c r="I258" t="s">
        <v>16</v>
      </c>
      <c r="J258">
        <v>420</v>
      </c>
      <c r="K258">
        <v>3</v>
      </c>
    </row>
    <row r="259" spans="1:11">
      <c r="A259" t="s">
        <v>306</v>
      </c>
      <c r="B259" t="s">
        <v>13</v>
      </c>
      <c r="C259" t="s">
        <v>29</v>
      </c>
      <c r="D259" t="s">
        <v>33</v>
      </c>
      <c r="E259" s="1">
        <v>44985</v>
      </c>
      <c r="F259" s="1">
        <v>44986</v>
      </c>
      <c r="G259">
        <v>27.1</v>
      </c>
      <c r="H259">
        <v>79.459999999999994</v>
      </c>
      <c r="I259" t="s">
        <v>16</v>
      </c>
      <c r="J259">
        <v>338</v>
      </c>
      <c r="K259">
        <v>1</v>
      </c>
    </row>
    <row r="260" spans="1:11">
      <c r="A260" t="s">
        <v>307</v>
      </c>
      <c r="B260" t="s">
        <v>36</v>
      </c>
      <c r="C260" t="s">
        <v>71</v>
      </c>
      <c r="D260" t="s">
        <v>38</v>
      </c>
      <c r="E260" s="1">
        <v>45185</v>
      </c>
      <c r="F260" s="1">
        <v>45198</v>
      </c>
      <c r="G260">
        <v>46.8</v>
      </c>
      <c r="H260">
        <v>105.98</v>
      </c>
      <c r="I260" t="s">
        <v>48</v>
      </c>
      <c r="J260">
        <v>410</v>
      </c>
      <c r="K260">
        <v>2</v>
      </c>
    </row>
    <row r="261" spans="1:11">
      <c r="A261" t="s">
        <v>308</v>
      </c>
      <c r="B261" t="s">
        <v>21</v>
      </c>
      <c r="C261" t="s">
        <v>58</v>
      </c>
      <c r="D261" t="s">
        <v>15</v>
      </c>
      <c r="E261" s="1">
        <v>45073</v>
      </c>
      <c r="F261" s="1">
        <v>45078</v>
      </c>
      <c r="G261">
        <v>10.4</v>
      </c>
      <c r="H261">
        <v>204.87</v>
      </c>
      <c r="I261" t="s">
        <v>16</v>
      </c>
      <c r="J261">
        <v>1486</v>
      </c>
      <c r="K261">
        <v>5</v>
      </c>
    </row>
    <row r="262" spans="1:11">
      <c r="A262" t="s">
        <v>309</v>
      </c>
      <c r="B262" t="s">
        <v>13</v>
      </c>
      <c r="C262" t="s">
        <v>14</v>
      </c>
      <c r="D262" t="s">
        <v>15</v>
      </c>
      <c r="E262" s="1">
        <v>45112</v>
      </c>
      <c r="G262">
        <v>14.6</v>
      </c>
      <c r="H262">
        <v>358.31</v>
      </c>
      <c r="I262" t="s">
        <v>48</v>
      </c>
      <c r="J262">
        <v>2492</v>
      </c>
      <c r="K262">
        <v>6</v>
      </c>
    </row>
    <row r="263" spans="1:11">
      <c r="A263" t="s">
        <v>310</v>
      </c>
      <c r="B263" t="s">
        <v>40</v>
      </c>
      <c r="C263" t="s">
        <v>41</v>
      </c>
      <c r="D263" t="s">
        <v>19</v>
      </c>
      <c r="E263" s="1">
        <v>45284</v>
      </c>
      <c r="F263" s="1">
        <v>45288</v>
      </c>
      <c r="G263">
        <v>39.200000000000003</v>
      </c>
      <c r="H263">
        <v>159.9</v>
      </c>
      <c r="I263" t="s">
        <v>16</v>
      </c>
      <c r="J263">
        <v>605</v>
      </c>
      <c r="K263">
        <v>4</v>
      </c>
    </row>
    <row r="264" spans="1:11">
      <c r="A264" t="s">
        <v>311</v>
      </c>
      <c r="B264" t="s">
        <v>21</v>
      </c>
      <c r="C264" t="s">
        <v>53</v>
      </c>
      <c r="D264" t="s">
        <v>60</v>
      </c>
      <c r="E264" s="1">
        <v>44998</v>
      </c>
      <c r="F264" s="1">
        <v>45001</v>
      </c>
      <c r="G264">
        <v>10</v>
      </c>
      <c r="I264" t="s">
        <v>16</v>
      </c>
      <c r="J264">
        <v>373</v>
      </c>
      <c r="K264">
        <v>3</v>
      </c>
    </row>
    <row r="265" spans="1:11">
      <c r="A265" t="s">
        <v>312</v>
      </c>
      <c r="B265" t="s">
        <v>57</v>
      </c>
      <c r="C265" t="s">
        <v>37</v>
      </c>
      <c r="D265" t="s">
        <v>33</v>
      </c>
      <c r="E265" s="1">
        <v>45169</v>
      </c>
      <c r="F265" s="1">
        <v>45170</v>
      </c>
      <c r="G265">
        <v>8.6</v>
      </c>
      <c r="H265">
        <v>34.32</v>
      </c>
      <c r="I265" t="s">
        <v>16</v>
      </c>
      <c r="J265">
        <v>165</v>
      </c>
      <c r="K265">
        <v>1</v>
      </c>
    </row>
    <row r="266" spans="1:11">
      <c r="A266" t="s">
        <v>313</v>
      </c>
      <c r="B266" t="s">
        <v>21</v>
      </c>
      <c r="C266" t="s">
        <v>29</v>
      </c>
      <c r="D266" t="s">
        <v>15</v>
      </c>
      <c r="E266" s="1">
        <v>44937</v>
      </c>
      <c r="F266" s="1">
        <v>44941</v>
      </c>
      <c r="G266">
        <v>10.9</v>
      </c>
      <c r="H266">
        <v>191.54</v>
      </c>
      <c r="I266" t="s">
        <v>16</v>
      </c>
      <c r="J266">
        <v>1435</v>
      </c>
      <c r="K266">
        <v>4</v>
      </c>
    </row>
    <row r="267" spans="1:11">
      <c r="A267" t="s">
        <v>314</v>
      </c>
      <c r="B267" t="s">
        <v>28</v>
      </c>
      <c r="C267" t="s">
        <v>41</v>
      </c>
      <c r="D267" t="s">
        <v>60</v>
      </c>
      <c r="E267" s="1">
        <v>44937</v>
      </c>
      <c r="F267" s="1">
        <v>44940</v>
      </c>
      <c r="G267">
        <v>35.299999999999997</v>
      </c>
      <c r="H267">
        <v>102.36</v>
      </c>
      <c r="I267" t="s">
        <v>16</v>
      </c>
      <c r="J267">
        <v>533</v>
      </c>
      <c r="K267">
        <v>3</v>
      </c>
    </row>
    <row r="268" spans="1:11">
      <c r="A268" t="s">
        <v>315</v>
      </c>
      <c r="B268" t="s">
        <v>24</v>
      </c>
      <c r="C268" t="s">
        <v>53</v>
      </c>
      <c r="D268" t="s">
        <v>38</v>
      </c>
      <c r="E268" s="1">
        <v>45259</v>
      </c>
      <c r="F268" s="1">
        <v>45265</v>
      </c>
      <c r="G268">
        <v>40.9</v>
      </c>
      <c r="H268">
        <v>224.12</v>
      </c>
      <c r="I268" t="s">
        <v>16</v>
      </c>
      <c r="J268">
        <v>1122</v>
      </c>
      <c r="K268">
        <v>6</v>
      </c>
    </row>
    <row r="269" spans="1:11">
      <c r="A269" t="s">
        <v>316</v>
      </c>
      <c r="B269" t="s">
        <v>31</v>
      </c>
      <c r="C269" t="s">
        <v>58</v>
      </c>
      <c r="D269" t="s">
        <v>19</v>
      </c>
      <c r="E269" s="1">
        <v>45129</v>
      </c>
      <c r="F269" s="1">
        <v>45130</v>
      </c>
      <c r="G269">
        <v>22.4</v>
      </c>
      <c r="H269">
        <v>70.430000000000007</v>
      </c>
      <c r="I269" t="s">
        <v>16</v>
      </c>
      <c r="J269">
        <v>263</v>
      </c>
      <c r="K269">
        <v>1</v>
      </c>
    </row>
    <row r="270" spans="1:11">
      <c r="A270" t="s">
        <v>317</v>
      </c>
      <c r="B270" t="s">
        <v>57</v>
      </c>
      <c r="C270" t="s">
        <v>55</v>
      </c>
      <c r="D270" t="s">
        <v>38</v>
      </c>
      <c r="E270" s="1">
        <v>45244</v>
      </c>
      <c r="F270" s="1">
        <v>45249</v>
      </c>
      <c r="G270">
        <v>8.6999999999999993</v>
      </c>
      <c r="H270">
        <v>202.52</v>
      </c>
      <c r="I270" t="s">
        <v>16</v>
      </c>
      <c r="J270">
        <v>1348</v>
      </c>
      <c r="K270">
        <v>5</v>
      </c>
    </row>
    <row r="271" spans="1:11">
      <c r="A271" t="s">
        <v>318</v>
      </c>
      <c r="B271" t="s">
        <v>28</v>
      </c>
      <c r="C271" t="s">
        <v>18</v>
      </c>
      <c r="D271" t="s">
        <v>60</v>
      </c>
      <c r="E271" s="1">
        <v>45258</v>
      </c>
      <c r="F271" s="1">
        <v>45261</v>
      </c>
      <c r="G271">
        <v>10.9</v>
      </c>
      <c r="H271">
        <v>55.96</v>
      </c>
      <c r="I271" t="s">
        <v>63</v>
      </c>
      <c r="J271">
        <v>340</v>
      </c>
      <c r="K271">
        <v>3</v>
      </c>
    </row>
    <row r="272" spans="1:11">
      <c r="A272" t="s">
        <v>319</v>
      </c>
      <c r="B272" t="s">
        <v>57</v>
      </c>
      <c r="C272" t="s">
        <v>53</v>
      </c>
      <c r="D272" t="s">
        <v>33</v>
      </c>
      <c r="E272" s="1">
        <v>44944</v>
      </c>
      <c r="F272" s="1">
        <v>44947</v>
      </c>
      <c r="G272">
        <v>4.9000000000000004</v>
      </c>
      <c r="H272">
        <v>27.41</v>
      </c>
      <c r="I272" t="s">
        <v>16</v>
      </c>
      <c r="J272">
        <v>159</v>
      </c>
      <c r="K272">
        <v>3</v>
      </c>
    </row>
    <row r="273" spans="1:11">
      <c r="A273" t="s">
        <v>320</v>
      </c>
      <c r="B273" t="s">
        <v>24</v>
      </c>
      <c r="C273" t="s">
        <v>45</v>
      </c>
      <c r="D273" t="s">
        <v>33</v>
      </c>
      <c r="E273" s="1">
        <v>44947</v>
      </c>
      <c r="F273" s="1">
        <v>44952</v>
      </c>
      <c r="G273">
        <v>45.1</v>
      </c>
      <c r="H273">
        <v>322.54000000000002</v>
      </c>
      <c r="I273" t="s">
        <v>16</v>
      </c>
      <c r="J273">
        <v>2054</v>
      </c>
      <c r="K273">
        <v>5</v>
      </c>
    </row>
    <row r="274" spans="1:11">
      <c r="A274" t="s">
        <v>321</v>
      </c>
      <c r="B274" t="s">
        <v>50</v>
      </c>
      <c r="C274" t="s">
        <v>45</v>
      </c>
      <c r="D274" t="s">
        <v>38</v>
      </c>
      <c r="E274" s="1">
        <v>45012</v>
      </c>
      <c r="F274" s="1">
        <v>45013</v>
      </c>
      <c r="G274">
        <v>24.8</v>
      </c>
      <c r="H274">
        <v>66.900000000000006</v>
      </c>
      <c r="I274" t="s">
        <v>63</v>
      </c>
      <c r="J274">
        <v>274</v>
      </c>
      <c r="K274">
        <v>1</v>
      </c>
    </row>
    <row r="275" spans="1:11">
      <c r="A275" t="s">
        <v>322</v>
      </c>
      <c r="B275" t="s">
        <v>36</v>
      </c>
      <c r="C275" t="s">
        <v>55</v>
      </c>
      <c r="D275" t="s">
        <v>43</v>
      </c>
      <c r="E275" s="1">
        <v>44930</v>
      </c>
      <c r="F275" s="1">
        <v>44934</v>
      </c>
      <c r="G275">
        <v>26.5</v>
      </c>
      <c r="I275" t="s">
        <v>16</v>
      </c>
      <c r="J275">
        <v>1350</v>
      </c>
      <c r="K275">
        <v>4</v>
      </c>
    </row>
    <row r="276" spans="1:11">
      <c r="A276" t="s">
        <v>323</v>
      </c>
      <c r="B276" t="s">
        <v>21</v>
      </c>
      <c r="C276" t="s">
        <v>55</v>
      </c>
      <c r="D276" t="s">
        <v>43</v>
      </c>
      <c r="E276" s="1">
        <v>45000</v>
      </c>
      <c r="F276" s="1">
        <v>45005</v>
      </c>
      <c r="G276">
        <v>13.4</v>
      </c>
      <c r="I276" t="s">
        <v>16</v>
      </c>
      <c r="J276">
        <v>916</v>
      </c>
      <c r="K276">
        <v>5</v>
      </c>
    </row>
    <row r="277" spans="1:11">
      <c r="A277" t="s">
        <v>324</v>
      </c>
      <c r="B277" t="s">
        <v>21</v>
      </c>
      <c r="C277" t="s">
        <v>32</v>
      </c>
      <c r="D277" t="s">
        <v>43</v>
      </c>
      <c r="E277" s="1">
        <v>45032</v>
      </c>
      <c r="F277" s="1">
        <v>45034</v>
      </c>
      <c r="G277">
        <v>25.3</v>
      </c>
      <c r="H277">
        <v>107.88</v>
      </c>
      <c r="I277" t="s">
        <v>63</v>
      </c>
      <c r="J277">
        <v>742</v>
      </c>
      <c r="K277">
        <v>2</v>
      </c>
    </row>
    <row r="278" spans="1:11">
      <c r="A278" t="s">
        <v>325</v>
      </c>
      <c r="B278" t="s">
        <v>31</v>
      </c>
      <c r="C278" t="s">
        <v>29</v>
      </c>
      <c r="D278" t="s">
        <v>33</v>
      </c>
      <c r="E278" s="1">
        <v>45156</v>
      </c>
      <c r="F278" s="1">
        <v>45162</v>
      </c>
      <c r="G278">
        <v>18</v>
      </c>
      <c r="H278">
        <v>305.41000000000003</v>
      </c>
      <c r="I278" t="s">
        <v>16</v>
      </c>
      <c r="J278">
        <v>2218</v>
      </c>
      <c r="K278">
        <v>6</v>
      </c>
    </row>
    <row r="279" spans="1:11">
      <c r="A279" t="s">
        <v>326</v>
      </c>
      <c r="B279" t="s">
        <v>57</v>
      </c>
      <c r="C279" t="s">
        <v>53</v>
      </c>
      <c r="D279" t="s">
        <v>26</v>
      </c>
      <c r="E279" s="1">
        <v>44997</v>
      </c>
      <c r="F279" s="1">
        <v>45002</v>
      </c>
      <c r="G279">
        <v>8.1999999999999993</v>
      </c>
      <c r="H279">
        <v>248.9</v>
      </c>
      <c r="I279" t="s">
        <v>16</v>
      </c>
      <c r="J279">
        <v>1857</v>
      </c>
      <c r="K279">
        <v>5</v>
      </c>
    </row>
    <row r="280" spans="1:11">
      <c r="A280" t="s">
        <v>327</v>
      </c>
      <c r="B280" t="s">
        <v>21</v>
      </c>
      <c r="C280" t="s">
        <v>71</v>
      </c>
      <c r="D280" t="s">
        <v>26</v>
      </c>
      <c r="E280" s="1">
        <v>45171</v>
      </c>
      <c r="F280" s="1">
        <v>45177</v>
      </c>
      <c r="G280">
        <v>9.6</v>
      </c>
      <c r="H280">
        <v>242.9</v>
      </c>
      <c r="I280" t="s">
        <v>16</v>
      </c>
      <c r="J280">
        <v>2001</v>
      </c>
      <c r="K280">
        <v>6</v>
      </c>
    </row>
    <row r="281" spans="1:11">
      <c r="A281" t="s">
        <v>328</v>
      </c>
      <c r="B281" t="s">
        <v>28</v>
      </c>
      <c r="C281" t="s">
        <v>58</v>
      </c>
      <c r="D281" t="s">
        <v>60</v>
      </c>
      <c r="E281" s="1">
        <v>45218</v>
      </c>
      <c r="F281" s="1">
        <v>45219</v>
      </c>
      <c r="G281">
        <v>37.700000000000003</v>
      </c>
      <c r="H281">
        <v>77.3</v>
      </c>
      <c r="I281" t="s">
        <v>16</v>
      </c>
      <c r="J281">
        <v>293</v>
      </c>
      <c r="K281">
        <v>1</v>
      </c>
    </row>
    <row r="282" spans="1:11">
      <c r="A282" t="s">
        <v>329</v>
      </c>
      <c r="B282" t="s">
        <v>50</v>
      </c>
      <c r="C282" t="s">
        <v>29</v>
      </c>
      <c r="D282" t="s">
        <v>26</v>
      </c>
      <c r="E282" s="1">
        <v>45221</v>
      </c>
      <c r="F282" s="1">
        <v>45225</v>
      </c>
      <c r="G282">
        <v>20.100000000000001</v>
      </c>
      <c r="H282">
        <v>209.94</v>
      </c>
      <c r="I282" t="s">
        <v>16</v>
      </c>
      <c r="J282">
        <v>1401</v>
      </c>
      <c r="K282">
        <v>4</v>
      </c>
    </row>
    <row r="283" spans="1:11">
      <c r="A283" t="s">
        <v>330</v>
      </c>
      <c r="B283" t="s">
        <v>40</v>
      </c>
      <c r="C283" t="s">
        <v>53</v>
      </c>
      <c r="D283" t="s">
        <v>26</v>
      </c>
      <c r="E283" s="1">
        <v>45007</v>
      </c>
      <c r="F283" s="1">
        <v>45019</v>
      </c>
      <c r="G283">
        <v>21.5</v>
      </c>
      <c r="H283">
        <v>136.58000000000001</v>
      </c>
      <c r="I283" t="s">
        <v>48</v>
      </c>
      <c r="J283">
        <v>916</v>
      </c>
      <c r="K283">
        <v>2</v>
      </c>
    </row>
    <row r="284" spans="1:11">
      <c r="A284" t="s">
        <v>331</v>
      </c>
      <c r="B284" t="s">
        <v>57</v>
      </c>
      <c r="C284" t="s">
        <v>71</v>
      </c>
      <c r="D284" t="s">
        <v>38</v>
      </c>
      <c r="E284" s="1">
        <v>44991</v>
      </c>
      <c r="F284" s="1">
        <v>44995</v>
      </c>
      <c r="G284">
        <v>4.5999999999999996</v>
      </c>
      <c r="H284">
        <v>230.19</v>
      </c>
      <c r="I284" t="s">
        <v>16</v>
      </c>
      <c r="J284">
        <v>1778</v>
      </c>
      <c r="K284">
        <v>4</v>
      </c>
    </row>
    <row r="285" spans="1:11">
      <c r="A285" t="s">
        <v>332</v>
      </c>
      <c r="B285" t="s">
        <v>36</v>
      </c>
      <c r="C285" t="s">
        <v>47</v>
      </c>
      <c r="D285" t="s">
        <v>33</v>
      </c>
      <c r="E285" s="1">
        <v>45236</v>
      </c>
      <c r="F285" s="1">
        <v>45242</v>
      </c>
      <c r="G285">
        <v>29.5</v>
      </c>
      <c r="H285">
        <v>194.07</v>
      </c>
      <c r="I285" t="s">
        <v>16</v>
      </c>
      <c r="J285">
        <v>1041</v>
      </c>
      <c r="K285">
        <v>6</v>
      </c>
    </row>
    <row r="286" spans="1:11">
      <c r="A286" t="s">
        <v>333</v>
      </c>
      <c r="B286" t="s">
        <v>31</v>
      </c>
      <c r="C286" t="s">
        <v>71</v>
      </c>
      <c r="D286" t="s">
        <v>60</v>
      </c>
      <c r="E286" s="1">
        <v>45182</v>
      </c>
      <c r="F286" s="1">
        <v>45152</v>
      </c>
      <c r="G286">
        <v>8</v>
      </c>
      <c r="H286">
        <v>92.47</v>
      </c>
      <c r="I286" t="s">
        <v>16</v>
      </c>
      <c r="J286">
        <v>676</v>
      </c>
      <c r="K286">
        <v>5</v>
      </c>
    </row>
    <row r="287" spans="1:11">
      <c r="A287" t="s">
        <v>334</v>
      </c>
      <c r="B287" t="s">
        <v>28</v>
      </c>
      <c r="C287" t="s">
        <v>55</v>
      </c>
      <c r="D287" t="s">
        <v>60</v>
      </c>
      <c r="E287" s="1">
        <v>45020</v>
      </c>
      <c r="F287" s="1">
        <v>45021</v>
      </c>
      <c r="G287">
        <v>9.9</v>
      </c>
      <c r="H287">
        <v>62.2</v>
      </c>
      <c r="I287" t="s">
        <v>16</v>
      </c>
      <c r="J287">
        <v>448</v>
      </c>
      <c r="K287">
        <v>1</v>
      </c>
    </row>
    <row r="288" spans="1:11">
      <c r="A288" t="s">
        <v>335</v>
      </c>
      <c r="B288" t="s">
        <v>52</v>
      </c>
      <c r="C288" t="s">
        <v>32</v>
      </c>
      <c r="D288" t="s">
        <v>19</v>
      </c>
      <c r="E288" s="1">
        <v>44971</v>
      </c>
      <c r="F288" s="1">
        <v>44976</v>
      </c>
      <c r="G288">
        <v>27.2</v>
      </c>
      <c r="H288">
        <v>334.23</v>
      </c>
      <c r="I288" t="s">
        <v>16</v>
      </c>
      <c r="J288">
        <v>2033</v>
      </c>
      <c r="K288">
        <v>5</v>
      </c>
    </row>
    <row r="289" spans="1:11">
      <c r="A289" t="s">
        <v>336</v>
      </c>
      <c r="B289" t="s">
        <v>57</v>
      </c>
      <c r="C289" t="s">
        <v>58</v>
      </c>
      <c r="D289" t="s">
        <v>19</v>
      </c>
      <c r="E289" s="1">
        <v>45188</v>
      </c>
      <c r="F289" s="1">
        <v>45192</v>
      </c>
      <c r="G289">
        <v>75.900000000000006</v>
      </c>
      <c r="H289">
        <v>251.01</v>
      </c>
      <c r="I289" t="s">
        <v>16</v>
      </c>
      <c r="J289">
        <v>939</v>
      </c>
      <c r="K289">
        <v>4</v>
      </c>
    </row>
    <row r="290" spans="1:11">
      <c r="A290" t="s">
        <v>337</v>
      </c>
      <c r="B290" t="s">
        <v>57</v>
      </c>
      <c r="C290" t="s">
        <v>41</v>
      </c>
      <c r="D290" t="s">
        <v>15</v>
      </c>
      <c r="E290" s="1">
        <v>45091</v>
      </c>
      <c r="F290" s="1">
        <v>45093</v>
      </c>
      <c r="G290">
        <v>24.5</v>
      </c>
      <c r="H290">
        <v>142.72999999999999</v>
      </c>
      <c r="I290" t="s">
        <v>16</v>
      </c>
      <c r="J290">
        <v>926</v>
      </c>
      <c r="K290">
        <v>2</v>
      </c>
    </row>
    <row r="291" spans="1:11">
      <c r="A291" t="s">
        <v>338</v>
      </c>
      <c r="B291" t="s">
        <v>40</v>
      </c>
      <c r="C291" t="s">
        <v>71</v>
      </c>
      <c r="D291" t="s">
        <v>26</v>
      </c>
      <c r="E291" s="1">
        <v>45126</v>
      </c>
      <c r="F291" s="1">
        <v>45132</v>
      </c>
      <c r="G291">
        <v>38.5</v>
      </c>
      <c r="H291">
        <v>330.97</v>
      </c>
      <c r="I291" t="s">
        <v>16</v>
      </c>
      <c r="J291">
        <v>2444</v>
      </c>
      <c r="K291">
        <v>6</v>
      </c>
    </row>
    <row r="292" spans="1:11">
      <c r="A292" t="s">
        <v>339</v>
      </c>
      <c r="B292" t="s">
        <v>21</v>
      </c>
      <c r="C292" t="s">
        <v>29</v>
      </c>
      <c r="D292" t="s">
        <v>26</v>
      </c>
      <c r="E292" s="1">
        <v>45239</v>
      </c>
      <c r="F292" s="1">
        <v>45243</v>
      </c>
      <c r="G292">
        <v>10.6</v>
      </c>
      <c r="H292">
        <v>235.34</v>
      </c>
      <c r="I292" t="s">
        <v>16</v>
      </c>
      <c r="J292">
        <v>1435</v>
      </c>
      <c r="K292">
        <v>4</v>
      </c>
    </row>
    <row r="293" spans="1:11">
      <c r="A293" t="s">
        <v>340</v>
      </c>
      <c r="B293" t="s">
        <v>40</v>
      </c>
      <c r="C293" t="s">
        <v>41</v>
      </c>
      <c r="D293" t="s">
        <v>38</v>
      </c>
      <c r="E293" s="1">
        <v>44992</v>
      </c>
      <c r="F293" s="1">
        <v>44997</v>
      </c>
      <c r="G293">
        <v>10.1</v>
      </c>
      <c r="H293">
        <v>231.81</v>
      </c>
      <c r="I293" t="s">
        <v>61</v>
      </c>
      <c r="J293">
        <v>1875</v>
      </c>
      <c r="K293">
        <v>5</v>
      </c>
    </row>
    <row r="294" spans="1:11">
      <c r="A294" t="s">
        <v>341</v>
      </c>
      <c r="B294" t="s">
        <v>21</v>
      </c>
      <c r="C294" t="s">
        <v>32</v>
      </c>
      <c r="D294" t="s">
        <v>33</v>
      </c>
      <c r="E294" s="1">
        <v>45074</v>
      </c>
      <c r="F294" s="1">
        <v>45079</v>
      </c>
      <c r="G294">
        <v>18.399999999999999</v>
      </c>
      <c r="H294">
        <v>302.47000000000003</v>
      </c>
      <c r="I294" t="s">
        <v>16</v>
      </c>
      <c r="J294">
        <v>2280</v>
      </c>
      <c r="K294">
        <v>5</v>
      </c>
    </row>
    <row r="295" spans="1:11">
      <c r="A295" t="s">
        <v>342</v>
      </c>
      <c r="B295" t="s">
        <v>13</v>
      </c>
      <c r="C295" t="s">
        <v>53</v>
      </c>
      <c r="D295" t="s">
        <v>19</v>
      </c>
      <c r="E295" s="1">
        <v>45246</v>
      </c>
      <c r="F295" s="1">
        <v>45250</v>
      </c>
      <c r="G295">
        <v>16.7</v>
      </c>
      <c r="H295">
        <v>341.36</v>
      </c>
      <c r="I295" t="s">
        <v>16</v>
      </c>
      <c r="J295">
        <v>1808</v>
      </c>
      <c r="K295">
        <v>4</v>
      </c>
    </row>
    <row r="296" spans="1:11">
      <c r="A296" t="s">
        <v>343</v>
      </c>
      <c r="B296" t="s">
        <v>57</v>
      </c>
      <c r="C296" t="s">
        <v>18</v>
      </c>
      <c r="D296" t="s">
        <v>15</v>
      </c>
      <c r="E296" s="1">
        <v>45076</v>
      </c>
      <c r="F296" s="1">
        <v>45081</v>
      </c>
      <c r="G296">
        <v>4.0999999999999996</v>
      </c>
      <c r="H296">
        <v>237.12</v>
      </c>
      <c r="I296" t="s">
        <v>16</v>
      </c>
      <c r="J296">
        <v>1790</v>
      </c>
      <c r="K296">
        <v>5</v>
      </c>
    </row>
    <row r="297" spans="1:11">
      <c r="A297" t="s">
        <v>344</v>
      </c>
      <c r="B297" t="s">
        <v>13</v>
      </c>
      <c r="C297" t="s">
        <v>32</v>
      </c>
      <c r="D297" t="s">
        <v>26</v>
      </c>
      <c r="E297" s="1">
        <v>45038</v>
      </c>
      <c r="F297" s="1">
        <v>45042</v>
      </c>
      <c r="G297">
        <v>5.2</v>
      </c>
      <c r="H297">
        <v>127.1</v>
      </c>
      <c r="I297" t="s">
        <v>16</v>
      </c>
      <c r="J297">
        <v>1049</v>
      </c>
      <c r="K297">
        <v>4</v>
      </c>
    </row>
    <row r="298" spans="1:11">
      <c r="A298" t="s">
        <v>345</v>
      </c>
      <c r="B298" t="s">
        <v>50</v>
      </c>
      <c r="C298" t="s">
        <v>47</v>
      </c>
      <c r="D298" t="s">
        <v>43</v>
      </c>
      <c r="E298" s="1">
        <v>44990</v>
      </c>
      <c r="F298" s="1">
        <v>45003</v>
      </c>
      <c r="G298">
        <v>23.7</v>
      </c>
      <c r="H298">
        <v>82.89</v>
      </c>
      <c r="I298" t="s">
        <v>48</v>
      </c>
      <c r="J298">
        <v>461</v>
      </c>
      <c r="K298">
        <v>6</v>
      </c>
    </row>
    <row r="299" spans="1:11">
      <c r="A299" t="s">
        <v>346</v>
      </c>
      <c r="B299" t="s">
        <v>40</v>
      </c>
      <c r="C299" t="s">
        <v>37</v>
      </c>
      <c r="D299" t="s">
        <v>33</v>
      </c>
      <c r="E299" s="1">
        <v>45135</v>
      </c>
      <c r="F299" s="1">
        <v>45140</v>
      </c>
      <c r="G299">
        <v>21.8</v>
      </c>
      <c r="H299">
        <v>204.43</v>
      </c>
      <c r="I299" t="s">
        <v>16</v>
      </c>
      <c r="J299">
        <v>1218</v>
      </c>
      <c r="K299">
        <v>5</v>
      </c>
    </row>
    <row r="300" spans="1:11">
      <c r="A300" t="s">
        <v>347</v>
      </c>
      <c r="B300" t="s">
        <v>21</v>
      </c>
      <c r="C300" t="s">
        <v>71</v>
      </c>
      <c r="D300" t="s">
        <v>60</v>
      </c>
      <c r="E300" s="1">
        <v>45070</v>
      </c>
      <c r="F300" s="1">
        <v>45076</v>
      </c>
      <c r="G300">
        <v>20</v>
      </c>
      <c r="H300">
        <v>255.06</v>
      </c>
      <c r="I300" t="s">
        <v>16</v>
      </c>
      <c r="J300">
        <v>2144</v>
      </c>
      <c r="K300">
        <v>6</v>
      </c>
    </row>
    <row r="301" spans="1:11">
      <c r="A301" t="s">
        <v>348</v>
      </c>
      <c r="B301" t="s">
        <v>50</v>
      </c>
      <c r="C301" t="s">
        <v>47</v>
      </c>
      <c r="D301" t="s">
        <v>43</v>
      </c>
      <c r="E301" s="1">
        <v>45250</v>
      </c>
      <c r="F301" s="1">
        <v>45254</v>
      </c>
      <c r="G301">
        <v>12.7</v>
      </c>
      <c r="H301">
        <v>261.22000000000003</v>
      </c>
      <c r="I301" t="s">
        <v>16</v>
      </c>
      <c r="J301">
        <v>1547</v>
      </c>
      <c r="K301">
        <v>4</v>
      </c>
    </row>
    <row r="302" spans="1:11">
      <c r="A302" t="s">
        <v>349</v>
      </c>
      <c r="B302" t="s">
        <v>40</v>
      </c>
      <c r="C302" t="s">
        <v>29</v>
      </c>
      <c r="D302" t="s">
        <v>19</v>
      </c>
      <c r="E302" s="1">
        <v>45106</v>
      </c>
      <c r="F302" s="1">
        <v>45108</v>
      </c>
      <c r="G302">
        <v>22.8</v>
      </c>
      <c r="H302">
        <v>76.069999999999993</v>
      </c>
      <c r="I302" t="s">
        <v>16</v>
      </c>
      <c r="J302">
        <v>370</v>
      </c>
      <c r="K302">
        <v>2</v>
      </c>
    </row>
    <row r="303" spans="1:11">
      <c r="A303" t="s">
        <v>350</v>
      </c>
      <c r="B303" t="s">
        <v>50</v>
      </c>
      <c r="C303" t="s">
        <v>47</v>
      </c>
      <c r="D303" t="s">
        <v>19</v>
      </c>
      <c r="E303" s="1">
        <v>45098</v>
      </c>
      <c r="F303" s="1">
        <v>45107</v>
      </c>
      <c r="G303">
        <v>12.6</v>
      </c>
      <c r="H303">
        <v>332.46</v>
      </c>
      <c r="I303" t="s">
        <v>16</v>
      </c>
      <c r="J303">
        <v>2400</v>
      </c>
      <c r="K303">
        <v>9</v>
      </c>
    </row>
    <row r="304" spans="1:11">
      <c r="A304" t="s">
        <v>351</v>
      </c>
      <c r="B304" t="s">
        <v>50</v>
      </c>
      <c r="C304" t="s">
        <v>18</v>
      </c>
      <c r="D304" t="s">
        <v>15</v>
      </c>
      <c r="E304" s="1">
        <v>45185</v>
      </c>
      <c r="F304" s="1">
        <v>45189</v>
      </c>
      <c r="G304">
        <v>25</v>
      </c>
      <c r="H304">
        <v>203.15</v>
      </c>
      <c r="I304" t="s">
        <v>16</v>
      </c>
      <c r="J304">
        <v>1477</v>
      </c>
      <c r="K304">
        <v>4</v>
      </c>
    </row>
    <row r="305" spans="1:11">
      <c r="A305" t="s">
        <v>352</v>
      </c>
      <c r="B305" t="s">
        <v>57</v>
      </c>
      <c r="C305" t="s">
        <v>47</v>
      </c>
      <c r="D305" t="s">
        <v>19</v>
      </c>
      <c r="E305" s="1">
        <v>45265</v>
      </c>
      <c r="F305" s="1">
        <v>45270</v>
      </c>
      <c r="G305">
        <v>30.5</v>
      </c>
      <c r="H305">
        <v>464.17</v>
      </c>
      <c r="I305" t="s">
        <v>16</v>
      </c>
      <c r="J305">
        <v>2363</v>
      </c>
      <c r="K305">
        <v>5</v>
      </c>
    </row>
    <row r="306" spans="1:11">
      <c r="A306" t="s">
        <v>353</v>
      </c>
      <c r="B306" t="s">
        <v>28</v>
      </c>
      <c r="C306" t="s">
        <v>32</v>
      </c>
      <c r="D306" t="s">
        <v>38</v>
      </c>
      <c r="E306" s="1">
        <v>45266</v>
      </c>
      <c r="F306" s="1">
        <v>45271</v>
      </c>
      <c r="G306">
        <v>20.6</v>
      </c>
      <c r="H306">
        <v>246.74</v>
      </c>
      <c r="I306" t="s">
        <v>16</v>
      </c>
      <c r="J306">
        <v>1442</v>
      </c>
      <c r="K306">
        <v>5</v>
      </c>
    </row>
    <row r="307" spans="1:11">
      <c r="A307" t="s">
        <v>354</v>
      </c>
      <c r="B307" t="s">
        <v>36</v>
      </c>
      <c r="C307" t="s">
        <v>82</v>
      </c>
      <c r="D307" t="s">
        <v>26</v>
      </c>
      <c r="E307" s="1">
        <v>45149</v>
      </c>
      <c r="F307" s="1">
        <v>45155</v>
      </c>
      <c r="G307">
        <v>46.9</v>
      </c>
      <c r="H307">
        <v>188.95</v>
      </c>
      <c r="I307" t="s">
        <v>48</v>
      </c>
      <c r="J307">
        <v>1000</v>
      </c>
      <c r="K307">
        <v>2</v>
      </c>
    </row>
    <row r="308" spans="1:11">
      <c r="A308" t="s">
        <v>355</v>
      </c>
      <c r="B308" t="s">
        <v>36</v>
      </c>
      <c r="C308" t="s">
        <v>37</v>
      </c>
      <c r="D308" t="s">
        <v>43</v>
      </c>
      <c r="E308" s="1">
        <v>44984</v>
      </c>
      <c r="F308" s="1">
        <v>44985</v>
      </c>
      <c r="G308">
        <v>30.2</v>
      </c>
      <c r="H308">
        <v>71.67</v>
      </c>
      <c r="I308" t="s">
        <v>16</v>
      </c>
      <c r="J308">
        <v>290</v>
      </c>
      <c r="K308">
        <v>1</v>
      </c>
    </row>
    <row r="309" spans="1:11">
      <c r="A309" t="s">
        <v>356</v>
      </c>
      <c r="B309" t="s">
        <v>57</v>
      </c>
      <c r="C309" t="s">
        <v>58</v>
      </c>
      <c r="D309" t="s">
        <v>43</v>
      </c>
      <c r="E309" s="1">
        <v>44978</v>
      </c>
      <c r="F309" s="1">
        <v>44982</v>
      </c>
      <c r="G309">
        <v>17.2</v>
      </c>
      <c r="H309">
        <v>133.74</v>
      </c>
      <c r="I309" t="s">
        <v>16</v>
      </c>
      <c r="J309">
        <v>888</v>
      </c>
      <c r="K309">
        <v>4</v>
      </c>
    </row>
    <row r="310" spans="1:11">
      <c r="A310" t="s">
        <v>357</v>
      </c>
      <c r="B310" t="s">
        <v>40</v>
      </c>
      <c r="C310" t="s">
        <v>32</v>
      </c>
      <c r="D310" t="s">
        <v>19</v>
      </c>
      <c r="E310" s="1">
        <v>45000</v>
      </c>
      <c r="F310" s="1">
        <v>45006</v>
      </c>
      <c r="G310">
        <v>14.4</v>
      </c>
      <c r="H310">
        <v>391.92</v>
      </c>
      <c r="I310" t="s">
        <v>16</v>
      </c>
      <c r="J310">
        <v>2448</v>
      </c>
      <c r="K310">
        <v>6</v>
      </c>
    </row>
    <row r="311" spans="1:11">
      <c r="A311" t="s">
        <v>358</v>
      </c>
      <c r="B311" t="s">
        <v>57</v>
      </c>
      <c r="C311" t="s">
        <v>53</v>
      </c>
      <c r="D311" t="s">
        <v>38</v>
      </c>
      <c r="E311" s="1">
        <v>45240</v>
      </c>
      <c r="F311" s="1">
        <v>45252</v>
      </c>
      <c r="G311">
        <v>36.5</v>
      </c>
      <c r="H311">
        <v>109.9</v>
      </c>
      <c r="I311" t="s">
        <v>48</v>
      </c>
      <c r="J311">
        <v>385</v>
      </c>
      <c r="K311">
        <v>2</v>
      </c>
    </row>
    <row r="312" spans="1:11">
      <c r="A312" t="s">
        <v>359</v>
      </c>
      <c r="B312" t="s">
        <v>28</v>
      </c>
      <c r="C312" t="s">
        <v>47</v>
      </c>
      <c r="D312" t="s">
        <v>38</v>
      </c>
      <c r="E312" s="1">
        <v>45014</v>
      </c>
      <c r="F312" s="1">
        <v>45025</v>
      </c>
      <c r="G312">
        <v>17.5</v>
      </c>
      <c r="H312">
        <v>198</v>
      </c>
      <c r="I312" t="s">
        <v>48</v>
      </c>
      <c r="J312">
        <v>1539</v>
      </c>
      <c r="K312">
        <v>4</v>
      </c>
    </row>
    <row r="313" spans="1:11">
      <c r="A313" t="s">
        <v>360</v>
      </c>
      <c r="B313" t="s">
        <v>21</v>
      </c>
      <c r="C313" t="s">
        <v>29</v>
      </c>
      <c r="D313" t="s">
        <v>43</v>
      </c>
      <c r="E313" s="1">
        <v>45128</v>
      </c>
      <c r="F313" s="1">
        <v>45134</v>
      </c>
      <c r="G313">
        <v>60.6</v>
      </c>
      <c r="H313">
        <v>242.49</v>
      </c>
      <c r="I313" t="s">
        <v>16</v>
      </c>
      <c r="J313">
        <v>1435</v>
      </c>
      <c r="K313">
        <v>6</v>
      </c>
    </row>
    <row r="314" spans="1:11">
      <c r="A314" t="s">
        <v>361</v>
      </c>
      <c r="B314" t="s">
        <v>31</v>
      </c>
      <c r="C314" t="s">
        <v>58</v>
      </c>
      <c r="D314" t="s">
        <v>38</v>
      </c>
      <c r="E314" s="1">
        <v>45099</v>
      </c>
      <c r="F314" s="1">
        <v>45104</v>
      </c>
      <c r="G314">
        <v>8.3000000000000007</v>
      </c>
      <c r="H314">
        <v>208.92</v>
      </c>
      <c r="I314" t="s">
        <v>16</v>
      </c>
      <c r="J314">
        <v>1713</v>
      </c>
      <c r="K314">
        <v>5</v>
      </c>
    </row>
    <row r="315" spans="1:11">
      <c r="A315" t="s">
        <v>362</v>
      </c>
      <c r="B315" t="s">
        <v>31</v>
      </c>
      <c r="C315" t="s">
        <v>25</v>
      </c>
      <c r="D315" t="s">
        <v>38</v>
      </c>
      <c r="E315" s="1">
        <v>45279</v>
      </c>
      <c r="F315" s="1">
        <v>45281</v>
      </c>
      <c r="G315">
        <v>20.399999999999999</v>
      </c>
      <c r="H315">
        <v>44.83</v>
      </c>
      <c r="I315" t="s">
        <v>61</v>
      </c>
      <c r="J315">
        <v>135</v>
      </c>
      <c r="K315">
        <v>2</v>
      </c>
    </row>
    <row r="316" spans="1:11">
      <c r="A316" t="s">
        <v>363</v>
      </c>
      <c r="B316" t="s">
        <v>36</v>
      </c>
      <c r="C316" t="s">
        <v>37</v>
      </c>
      <c r="D316" t="s">
        <v>19</v>
      </c>
      <c r="E316" s="1">
        <v>45227</v>
      </c>
      <c r="F316" s="1">
        <v>45231</v>
      </c>
      <c r="G316">
        <v>37.9</v>
      </c>
      <c r="H316">
        <v>100.86</v>
      </c>
      <c r="I316" t="s">
        <v>16</v>
      </c>
      <c r="J316">
        <v>305</v>
      </c>
      <c r="K316">
        <v>4</v>
      </c>
    </row>
    <row r="317" spans="1:11">
      <c r="A317" t="s">
        <v>364</v>
      </c>
      <c r="B317" t="s">
        <v>57</v>
      </c>
      <c r="C317" t="s">
        <v>32</v>
      </c>
      <c r="D317" t="s">
        <v>33</v>
      </c>
      <c r="E317" s="1">
        <v>45078</v>
      </c>
      <c r="F317" s="1">
        <v>45083</v>
      </c>
      <c r="G317">
        <v>16.2</v>
      </c>
      <c r="H317">
        <v>301.83999999999997</v>
      </c>
      <c r="I317" t="s">
        <v>63</v>
      </c>
      <c r="J317">
        <v>2209</v>
      </c>
      <c r="K317">
        <v>5</v>
      </c>
    </row>
    <row r="318" spans="1:11">
      <c r="A318" t="s">
        <v>365</v>
      </c>
      <c r="B318" t="s">
        <v>36</v>
      </c>
      <c r="C318" t="s">
        <v>82</v>
      </c>
      <c r="D318" t="s">
        <v>60</v>
      </c>
      <c r="E318" s="1">
        <v>44927</v>
      </c>
      <c r="F318" s="1">
        <v>44933</v>
      </c>
      <c r="G318">
        <v>23.8</v>
      </c>
      <c r="H318">
        <v>128.01</v>
      </c>
      <c r="I318" t="s">
        <v>16</v>
      </c>
      <c r="J318">
        <v>1000</v>
      </c>
      <c r="K318">
        <v>6</v>
      </c>
    </row>
    <row r="319" spans="1:11">
      <c r="A319" t="s">
        <v>366</v>
      </c>
      <c r="B319" t="s">
        <v>24</v>
      </c>
      <c r="C319" t="s">
        <v>47</v>
      </c>
      <c r="D319" t="s">
        <v>26</v>
      </c>
      <c r="E319" s="1">
        <v>45179</v>
      </c>
      <c r="F319" s="1">
        <v>45188</v>
      </c>
      <c r="G319">
        <v>15.9</v>
      </c>
      <c r="H319">
        <v>284.07</v>
      </c>
      <c r="I319" t="s">
        <v>16</v>
      </c>
      <c r="J319">
        <v>2374</v>
      </c>
      <c r="K319">
        <v>9</v>
      </c>
    </row>
    <row r="320" spans="1:11">
      <c r="A320" t="s">
        <v>367</v>
      </c>
      <c r="B320" t="s">
        <v>40</v>
      </c>
      <c r="C320" t="s">
        <v>71</v>
      </c>
      <c r="D320" t="s">
        <v>26</v>
      </c>
      <c r="E320" s="1">
        <v>45256</v>
      </c>
      <c r="F320" s="1">
        <v>45276</v>
      </c>
      <c r="G320">
        <v>77.8</v>
      </c>
      <c r="H320">
        <v>413.72</v>
      </c>
      <c r="I320" t="s">
        <v>48</v>
      </c>
      <c r="J320">
        <v>2313</v>
      </c>
      <c r="K320">
        <v>10</v>
      </c>
    </row>
    <row r="321" spans="1:11">
      <c r="A321" t="s">
        <v>368</v>
      </c>
      <c r="B321" t="s">
        <v>36</v>
      </c>
      <c r="C321" t="s">
        <v>41</v>
      </c>
      <c r="D321" t="s">
        <v>60</v>
      </c>
      <c r="E321" s="1">
        <v>45007</v>
      </c>
      <c r="F321" s="1">
        <v>45011</v>
      </c>
      <c r="G321">
        <v>8.1</v>
      </c>
      <c r="H321">
        <v>41.68</v>
      </c>
      <c r="I321" t="s">
        <v>16</v>
      </c>
      <c r="J321">
        <v>283</v>
      </c>
      <c r="K321">
        <v>4</v>
      </c>
    </row>
    <row r="322" spans="1:11">
      <c r="A322" t="s">
        <v>369</v>
      </c>
      <c r="B322" t="s">
        <v>24</v>
      </c>
      <c r="C322" t="s">
        <v>58</v>
      </c>
      <c r="D322" t="s">
        <v>26</v>
      </c>
      <c r="E322" s="1">
        <v>45215</v>
      </c>
      <c r="F322" s="1">
        <v>45220</v>
      </c>
      <c r="G322">
        <v>52.1</v>
      </c>
      <c r="H322">
        <v>282.08</v>
      </c>
      <c r="I322" t="s">
        <v>16</v>
      </c>
      <c r="J322">
        <v>1861</v>
      </c>
      <c r="K322">
        <v>5</v>
      </c>
    </row>
    <row r="323" spans="1:11">
      <c r="A323" t="s">
        <v>370</v>
      </c>
      <c r="B323" t="s">
        <v>57</v>
      </c>
      <c r="C323" t="s">
        <v>22</v>
      </c>
      <c r="D323" t="s">
        <v>43</v>
      </c>
      <c r="E323" s="1">
        <v>45196</v>
      </c>
      <c r="G323">
        <v>6.9</v>
      </c>
      <c r="H323">
        <v>53.22</v>
      </c>
      <c r="I323" t="s">
        <v>16</v>
      </c>
      <c r="J323">
        <v>424</v>
      </c>
      <c r="K323">
        <v>2</v>
      </c>
    </row>
    <row r="324" spans="1:11">
      <c r="A324" t="s">
        <v>371</v>
      </c>
      <c r="B324" t="s">
        <v>21</v>
      </c>
      <c r="C324" t="s">
        <v>53</v>
      </c>
      <c r="D324" t="s">
        <v>38</v>
      </c>
      <c r="E324" s="1">
        <v>44937</v>
      </c>
      <c r="F324" s="1">
        <v>44943</v>
      </c>
      <c r="G324">
        <v>22.6</v>
      </c>
      <c r="H324">
        <v>76.63</v>
      </c>
      <c r="I324" t="s">
        <v>48</v>
      </c>
      <c r="J324">
        <v>373</v>
      </c>
      <c r="K324">
        <v>5</v>
      </c>
    </row>
    <row r="325" spans="1:11">
      <c r="A325" t="s">
        <v>372</v>
      </c>
      <c r="B325" t="s">
        <v>31</v>
      </c>
      <c r="C325" t="s">
        <v>53</v>
      </c>
      <c r="D325" t="s">
        <v>60</v>
      </c>
      <c r="E325" s="1">
        <v>45187</v>
      </c>
      <c r="F325" s="1">
        <v>45192</v>
      </c>
      <c r="G325">
        <v>31.9</v>
      </c>
      <c r="H325">
        <v>207.32</v>
      </c>
      <c r="I325" t="s">
        <v>16</v>
      </c>
      <c r="J325">
        <v>1520</v>
      </c>
      <c r="K325">
        <v>5</v>
      </c>
    </row>
    <row r="326" spans="1:11">
      <c r="A326" t="s">
        <v>373</v>
      </c>
      <c r="B326" t="s">
        <v>24</v>
      </c>
      <c r="C326" t="s">
        <v>55</v>
      </c>
      <c r="D326" t="s">
        <v>33</v>
      </c>
      <c r="E326" s="1">
        <v>45222</v>
      </c>
      <c r="F326" s="1">
        <v>45226</v>
      </c>
      <c r="G326">
        <v>45.9</v>
      </c>
      <c r="H326">
        <v>89.19</v>
      </c>
      <c r="I326" t="s">
        <v>16</v>
      </c>
      <c r="J326">
        <v>247</v>
      </c>
      <c r="K326">
        <v>4</v>
      </c>
    </row>
    <row r="327" spans="1:11">
      <c r="A327" t="s">
        <v>374</v>
      </c>
      <c r="B327" t="s">
        <v>31</v>
      </c>
      <c r="C327" t="s">
        <v>22</v>
      </c>
      <c r="D327" t="s">
        <v>33</v>
      </c>
      <c r="E327" s="1">
        <v>45133</v>
      </c>
      <c r="F327" s="1">
        <v>45137</v>
      </c>
      <c r="G327">
        <v>14.9</v>
      </c>
      <c r="H327">
        <v>112.48</v>
      </c>
      <c r="I327" t="s">
        <v>16</v>
      </c>
      <c r="J327">
        <v>789</v>
      </c>
      <c r="K327">
        <v>4</v>
      </c>
    </row>
    <row r="328" spans="1:11">
      <c r="A328" t="s">
        <v>375</v>
      </c>
      <c r="B328" t="s">
        <v>36</v>
      </c>
      <c r="C328" t="s">
        <v>82</v>
      </c>
      <c r="D328" t="s">
        <v>38</v>
      </c>
      <c r="E328" s="1">
        <v>44962</v>
      </c>
      <c r="F328" s="1">
        <v>44966</v>
      </c>
      <c r="G328">
        <v>27.6</v>
      </c>
      <c r="H328">
        <v>165.2</v>
      </c>
      <c r="I328" t="s">
        <v>16</v>
      </c>
      <c r="J328">
        <v>1000</v>
      </c>
      <c r="K328">
        <v>4</v>
      </c>
    </row>
    <row r="329" spans="1:11">
      <c r="A329" t="s">
        <v>376</v>
      </c>
      <c r="B329" t="s">
        <v>40</v>
      </c>
      <c r="C329" t="s">
        <v>18</v>
      </c>
      <c r="D329" t="s">
        <v>19</v>
      </c>
      <c r="E329" s="1">
        <v>45010</v>
      </c>
      <c r="F329" s="1">
        <v>45012</v>
      </c>
      <c r="G329">
        <v>8.3000000000000007</v>
      </c>
      <c r="H329">
        <v>128.12</v>
      </c>
      <c r="I329" t="s">
        <v>16</v>
      </c>
      <c r="J329">
        <v>800</v>
      </c>
      <c r="K329">
        <v>2</v>
      </c>
    </row>
    <row r="330" spans="1:11">
      <c r="A330" t="s">
        <v>377</v>
      </c>
      <c r="B330" t="s">
        <v>31</v>
      </c>
      <c r="C330" t="s">
        <v>45</v>
      </c>
      <c r="D330" t="s">
        <v>19</v>
      </c>
      <c r="E330" s="1">
        <v>45226</v>
      </c>
      <c r="F330" s="1">
        <v>45231</v>
      </c>
      <c r="G330">
        <v>41.8</v>
      </c>
      <c r="H330">
        <v>174.68</v>
      </c>
      <c r="I330" t="s">
        <v>16</v>
      </c>
      <c r="J330">
        <v>773</v>
      </c>
      <c r="K330">
        <v>5</v>
      </c>
    </row>
    <row r="331" spans="1:11">
      <c r="A331" t="s">
        <v>378</v>
      </c>
      <c r="B331" t="s">
        <v>57</v>
      </c>
      <c r="C331" t="s">
        <v>25</v>
      </c>
      <c r="D331" t="s">
        <v>38</v>
      </c>
      <c r="E331" s="1">
        <v>45111</v>
      </c>
      <c r="F331" s="1">
        <v>45116</v>
      </c>
      <c r="G331">
        <v>10.7</v>
      </c>
      <c r="H331">
        <v>219.9</v>
      </c>
      <c r="I331" t="s">
        <v>61</v>
      </c>
      <c r="J331">
        <v>1857</v>
      </c>
      <c r="K331">
        <v>5</v>
      </c>
    </row>
    <row r="332" spans="1:11">
      <c r="A332" t="s">
        <v>379</v>
      </c>
      <c r="B332" t="s">
        <v>13</v>
      </c>
      <c r="C332" t="s">
        <v>41</v>
      </c>
      <c r="D332" t="s">
        <v>38</v>
      </c>
      <c r="E332" s="1">
        <v>45117</v>
      </c>
      <c r="F332" s="1">
        <v>45120</v>
      </c>
      <c r="G332">
        <v>8.3000000000000007</v>
      </c>
      <c r="H332">
        <v>154.62</v>
      </c>
      <c r="I332" t="s">
        <v>16</v>
      </c>
      <c r="J332">
        <v>1155</v>
      </c>
      <c r="K332">
        <v>3</v>
      </c>
    </row>
    <row r="333" spans="1:11">
      <c r="A333" t="s">
        <v>380</v>
      </c>
      <c r="B333" t="s">
        <v>52</v>
      </c>
      <c r="C333" t="s">
        <v>22</v>
      </c>
      <c r="D333" t="s">
        <v>15</v>
      </c>
      <c r="E333" s="1">
        <v>45080</v>
      </c>
      <c r="F333" s="1">
        <v>45084</v>
      </c>
      <c r="G333">
        <v>67.900000000000006</v>
      </c>
      <c r="H333">
        <v>253.84</v>
      </c>
      <c r="I333" t="s">
        <v>16</v>
      </c>
      <c r="J333">
        <v>1154</v>
      </c>
      <c r="K333">
        <v>4</v>
      </c>
    </row>
    <row r="334" spans="1:11">
      <c r="A334" t="s">
        <v>381</v>
      </c>
      <c r="B334" t="s">
        <v>13</v>
      </c>
      <c r="C334" t="s">
        <v>82</v>
      </c>
      <c r="D334" t="s">
        <v>15</v>
      </c>
      <c r="E334" s="1">
        <v>45237</v>
      </c>
      <c r="F334" s="1">
        <v>45241</v>
      </c>
      <c r="G334">
        <v>10.3</v>
      </c>
      <c r="H334">
        <v>233.37</v>
      </c>
      <c r="I334" t="s">
        <v>16</v>
      </c>
      <c r="J334">
        <v>1477</v>
      </c>
      <c r="K334">
        <v>4</v>
      </c>
    </row>
    <row r="335" spans="1:11">
      <c r="A335" t="s">
        <v>382</v>
      </c>
      <c r="B335" t="s">
        <v>52</v>
      </c>
      <c r="C335" t="s">
        <v>22</v>
      </c>
      <c r="D335" t="s">
        <v>26</v>
      </c>
      <c r="E335" s="1">
        <v>44956</v>
      </c>
      <c r="F335" s="1">
        <v>44960</v>
      </c>
      <c r="G335">
        <v>22.7</v>
      </c>
      <c r="H335">
        <v>218.75</v>
      </c>
      <c r="I335" t="s">
        <v>16</v>
      </c>
      <c r="J335">
        <v>1541</v>
      </c>
      <c r="K335">
        <v>4</v>
      </c>
    </row>
    <row r="336" spans="1:11">
      <c r="A336" t="s">
        <v>383</v>
      </c>
      <c r="B336" t="s">
        <v>21</v>
      </c>
      <c r="C336" t="s">
        <v>55</v>
      </c>
      <c r="D336" t="s">
        <v>19</v>
      </c>
      <c r="E336" s="1">
        <v>45237</v>
      </c>
      <c r="F336" s="1">
        <v>45240</v>
      </c>
      <c r="G336">
        <v>19</v>
      </c>
      <c r="H336">
        <v>127.07</v>
      </c>
      <c r="I336" t="s">
        <v>16</v>
      </c>
      <c r="J336">
        <v>622</v>
      </c>
      <c r="K336">
        <v>3</v>
      </c>
    </row>
    <row r="337" spans="1:11">
      <c r="A337" t="s">
        <v>384</v>
      </c>
      <c r="B337" t="s">
        <v>24</v>
      </c>
      <c r="C337" t="s">
        <v>58</v>
      </c>
      <c r="D337" t="s">
        <v>38</v>
      </c>
      <c r="E337" s="1">
        <v>45040</v>
      </c>
      <c r="F337" s="1">
        <v>45042</v>
      </c>
      <c r="G337">
        <v>43.4</v>
      </c>
      <c r="I337" t="s">
        <v>16</v>
      </c>
      <c r="J337">
        <v>844</v>
      </c>
      <c r="K337">
        <v>2</v>
      </c>
    </row>
    <row r="338" spans="1:11">
      <c r="A338" t="s">
        <v>385</v>
      </c>
      <c r="B338" t="s">
        <v>50</v>
      </c>
      <c r="C338" t="s">
        <v>53</v>
      </c>
      <c r="D338" t="s">
        <v>38</v>
      </c>
      <c r="E338" s="1">
        <v>45043</v>
      </c>
      <c r="F338" s="1">
        <v>45046</v>
      </c>
      <c r="G338">
        <v>12.7</v>
      </c>
      <c r="H338">
        <v>192.88</v>
      </c>
      <c r="I338" t="s">
        <v>16</v>
      </c>
      <c r="J338">
        <v>1608</v>
      </c>
      <c r="K338">
        <v>3</v>
      </c>
    </row>
    <row r="339" spans="1:11">
      <c r="A339" t="s">
        <v>386</v>
      </c>
      <c r="B339" t="s">
        <v>50</v>
      </c>
      <c r="C339" t="s">
        <v>18</v>
      </c>
      <c r="D339" t="s">
        <v>15</v>
      </c>
      <c r="E339" s="1">
        <v>44936</v>
      </c>
      <c r="F339" s="1">
        <v>44940</v>
      </c>
      <c r="G339">
        <v>45.3</v>
      </c>
      <c r="H339">
        <v>240.32</v>
      </c>
      <c r="I339" t="s">
        <v>16</v>
      </c>
      <c r="J339">
        <v>1324</v>
      </c>
      <c r="K339">
        <v>4</v>
      </c>
    </row>
    <row r="340" spans="1:11">
      <c r="A340" t="s">
        <v>387</v>
      </c>
      <c r="B340" t="s">
        <v>36</v>
      </c>
      <c r="C340" t="s">
        <v>37</v>
      </c>
      <c r="D340" t="s">
        <v>15</v>
      </c>
      <c r="E340" s="1">
        <v>45155</v>
      </c>
      <c r="F340" s="1">
        <v>45160</v>
      </c>
      <c r="G340">
        <v>12.3</v>
      </c>
      <c r="H340">
        <v>310.02</v>
      </c>
      <c r="I340" t="s">
        <v>16</v>
      </c>
      <c r="J340">
        <v>2328</v>
      </c>
      <c r="K340">
        <v>5</v>
      </c>
    </row>
    <row r="341" spans="1:11">
      <c r="A341" t="s">
        <v>388</v>
      </c>
      <c r="B341" t="s">
        <v>28</v>
      </c>
      <c r="C341" t="s">
        <v>41</v>
      </c>
      <c r="D341" t="s">
        <v>60</v>
      </c>
      <c r="E341" s="1">
        <v>45209</v>
      </c>
      <c r="F341" s="1">
        <v>45214</v>
      </c>
      <c r="G341">
        <v>52.2</v>
      </c>
      <c r="H341">
        <v>253.33</v>
      </c>
      <c r="I341" t="s">
        <v>48</v>
      </c>
      <c r="J341">
        <v>1608</v>
      </c>
      <c r="K341">
        <v>4</v>
      </c>
    </row>
    <row r="342" spans="1:11">
      <c r="A342" t="s">
        <v>389</v>
      </c>
      <c r="B342" t="s">
        <v>31</v>
      </c>
      <c r="C342" t="s">
        <v>53</v>
      </c>
      <c r="D342" t="s">
        <v>15</v>
      </c>
      <c r="E342" s="1">
        <v>44938</v>
      </c>
      <c r="F342" s="1">
        <v>44947</v>
      </c>
      <c r="G342">
        <v>8.4</v>
      </c>
      <c r="H342">
        <v>280.39</v>
      </c>
      <c r="I342" t="s">
        <v>16</v>
      </c>
      <c r="J342">
        <v>2388</v>
      </c>
      <c r="K342">
        <v>9</v>
      </c>
    </row>
    <row r="343" spans="1:11">
      <c r="A343" t="s">
        <v>390</v>
      </c>
      <c r="B343" t="s">
        <v>40</v>
      </c>
      <c r="C343" t="s">
        <v>45</v>
      </c>
      <c r="D343" t="s">
        <v>38</v>
      </c>
      <c r="E343" s="1">
        <v>45119</v>
      </c>
      <c r="F343" s="1">
        <v>45122</v>
      </c>
      <c r="G343">
        <v>13.9</v>
      </c>
      <c r="H343">
        <v>136.58000000000001</v>
      </c>
      <c r="I343" t="s">
        <v>16</v>
      </c>
      <c r="J343">
        <v>1028</v>
      </c>
      <c r="K343">
        <v>3</v>
      </c>
    </row>
    <row r="344" spans="1:11">
      <c r="A344" t="s">
        <v>391</v>
      </c>
      <c r="B344" t="s">
        <v>21</v>
      </c>
      <c r="C344" t="s">
        <v>18</v>
      </c>
      <c r="D344" t="s">
        <v>43</v>
      </c>
      <c r="E344" s="1">
        <v>44946</v>
      </c>
      <c r="F344" s="1">
        <v>44955</v>
      </c>
      <c r="G344">
        <v>41</v>
      </c>
      <c r="H344">
        <v>278.39</v>
      </c>
      <c r="I344" t="s">
        <v>48</v>
      </c>
      <c r="J344">
        <v>2061</v>
      </c>
      <c r="K344">
        <v>5</v>
      </c>
    </row>
    <row r="345" spans="1:11">
      <c r="A345" t="s">
        <v>392</v>
      </c>
      <c r="B345" t="s">
        <v>21</v>
      </c>
      <c r="C345" t="s">
        <v>45</v>
      </c>
      <c r="D345" t="s">
        <v>60</v>
      </c>
      <c r="E345" s="1">
        <v>45213</v>
      </c>
      <c r="F345" s="1">
        <v>45218</v>
      </c>
      <c r="G345">
        <v>26.1</v>
      </c>
      <c r="H345">
        <v>232.56</v>
      </c>
      <c r="I345" t="s">
        <v>16</v>
      </c>
      <c r="J345">
        <v>1772</v>
      </c>
      <c r="K345">
        <v>5</v>
      </c>
    </row>
    <row r="346" spans="1:11">
      <c r="A346" t="s">
        <v>393</v>
      </c>
      <c r="B346" t="s">
        <v>21</v>
      </c>
      <c r="C346" t="s">
        <v>45</v>
      </c>
      <c r="D346" t="s">
        <v>60</v>
      </c>
      <c r="E346" s="1">
        <v>45219</v>
      </c>
      <c r="F346" s="1">
        <v>45223</v>
      </c>
      <c r="G346">
        <v>26.2</v>
      </c>
      <c r="H346">
        <v>210.07</v>
      </c>
      <c r="I346" t="s">
        <v>16</v>
      </c>
      <c r="J346">
        <v>1707</v>
      </c>
      <c r="K346">
        <v>4</v>
      </c>
    </row>
    <row r="347" spans="1:11">
      <c r="A347" t="s">
        <v>394</v>
      </c>
      <c r="B347" t="s">
        <v>50</v>
      </c>
      <c r="C347" t="s">
        <v>41</v>
      </c>
      <c r="D347" t="s">
        <v>60</v>
      </c>
      <c r="E347" s="1">
        <v>44971</v>
      </c>
      <c r="F347" s="1">
        <v>44941</v>
      </c>
      <c r="G347">
        <v>47.6</v>
      </c>
      <c r="H347">
        <v>135.78</v>
      </c>
      <c r="I347" t="s">
        <v>48</v>
      </c>
      <c r="J347">
        <v>636</v>
      </c>
      <c r="K347">
        <v>1</v>
      </c>
    </row>
    <row r="348" spans="1:11">
      <c r="A348" t="s">
        <v>395</v>
      </c>
      <c r="B348" t="s">
        <v>28</v>
      </c>
      <c r="C348" t="s">
        <v>22</v>
      </c>
      <c r="D348" t="s">
        <v>33</v>
      </c>
      <c r="E348" s="1">
        <v>45236</v>
      </c>
      <c r="F348" s="1">
        <v>45246</v>
      </c>
      <c r="G348">
        <v>10.8</v>
      </c>
      <c r="H348">
        <v>349.56</v>
      </c>
      <c r="I348" t="s">
        <v>63</v>
      </c>
      <c r="J348">
        <v>1953</v>
      </c>
      <c r="K348">
        <v>10</v>
      </c>
    </row>
    <row r="349" spans="1:11">
      <c r="A349" t="s">
        <v>396</v>
      </c>
      <c r="B349" t="s">
        <v>52</v>
      </c>
      <c r="C349" t="s">
        <v>41</v>
      </c>
      <c r="D349" t="s">
        <v>60</v>
      </c>
      <c r="E349" s="1">
        <v>45227</v>
      </c>
      <c r="F349" s="1">
        <v>45232</v>
      </c>
      <c r="G349">
        <v>42.4</v>
      </c>
      <c r="H349">
        <v>192.86</v>
      </c>
      <c r="I349" t="s">
        <v>16</v>
      </c>
      <c r="J349">
        <v>1319</v>
      </c>
      <c r="K349">
        <v>5</v>
      </c>
    </row>
    <row r="350" spans="1:11">
      <c r="A350" t="s">
        <v>397</v>
      </c>
      <c r="B350" t="s">
        <v>57</v>
      </c>
      <c r="C350" t="s">
        <v>47</v>
      </c>
      <c r="D350" t="s">
        <v>26</v>
      </c>
      <c r="E350" s="1">
        <v>45277</v>
      </c>
      <c r="G350">
        <v>8.1999999999999993</v>
      </c>
      <c r="H350">
        <v>69.790000000000006</v>
      </c>
      <c r="I350" t="s">
        <v>16</v>
      </c>
      <c r="J350">
        <v>383</v>
      </c>
      <c r="K350">
        <v>2</v>
      </c>
    </row>
    <row r="351" spans="1:11">
      <c r="A351" t="s">
        <v>398</v>
      </c>
      <c r="B351" t="s">
        <v>50</v>
      </c>
      <c r="C351" t="s">
        <v>22</v>
      </c>
      <c r="D351" t="s">
        <v>15</v>
      </c>
      <c r="E351" s="1">
        <v>45170</v>
      </c>
      <c r="F351" s="1">
        <v>45173</v>
      </c>
      <c r="G351">
        <v>26.1</v>
      </c>
      <c r="H351">
        <v>75.760000000000005</v>
      </c>
      <c r="I351" t="s">
        <v>16</v>
      </c>
      <c r="J351">
        <v>325</v>
      </c>
      <c r="K351">
        <v>3</v>
      </c>
    </row>
    <row r="352" spans="1:11">
      <c r="A352" t="s">
        <v>399</v>
      </c>
      <c r="B352" t="s">
        <v>28</v>
      </c>
      <c r="C352" t="s">
        <v>37</v>
      </c>
      <c r="D352" t="s">
        <v>15</v>
      </c>
      <c r="E352" s="1">
        <v>45019</v>
      </c>
      <c r="F352" s="1">
        <v>45021</v>
      </c>
      <c r="G352">
        <v>21.1</v>
      </c>
      <c r="H352">
        <v>73.7</v>
      </c>
      <c r="I352" t="s">
        <v>16</v>
      </c>
      <c r="J352">
        <v>347</v>
      </c>
      <c r="K352">
        <v>2</v>
      </c>
    </row>
    <row r="353" spans="1:11">
      <c r="A353" t="s">
        <v>400</v>
      </c>
      <c r="B353" t="s">
        <v>28</v>
      </c>
      <c r="C353" t="s">
        <v>37</v>
      </c>
      <c r="D353" t="s">
        <v>38</v>
      </c>
      <c r="E353" s="1">
        <v>45100</v>
      </c>
      <c r="F353" s="1">
        <v>45102</v>
      </c>
      <c r="G353">
        <v>15.7</v>
      </c>
      <c r="H353">
        <v>87.18</v>
      </c>
      <c r="I353" t="s">
        <v>16</v>
      </c>
      <c r="J353">
        <v>509</v>
      </c>
      <c r="K353">
        <v>2</v>
      </c>
    </row>
    <row r="354" spans="1:11">
      <c r="A354" t="s">
        <v>401</v>
      </c>
      <c r="B354" t="s">
        <v>50</v>
      </c>
      <c r="C354" t="s">
        <v>58</v>
      </c>
      <c r="D354" t="s">
        <v>26</v>
      </c>
      <c r="E354" s="1">
        <v>45276</v>
      </c>
      <c r="F354" s="1">
        <v>45278</v>
      </c>
      <c r="G354">
        <v>14.3</v>
      </c>
      <c r="H354">
        <v>88.22</v>
      </c>
      <c r="I354" t="s">
        <v>16</v>
      </c>
      <c r="J354">
        <v>421</v>
      </c>
      <c r="K354">
        <v>2</v>
      </c>
    </row>
    <row r="355" spans="1:11">
      <c r="A355" t="s">
        <v>402</v>
      </c>
      <c r="B355" t="s">
        <v>40</v>
      </c>
      <c r="C355" t="s">
        <v>58</v>
      </c>
      <c r="D355" t="s">
        <v>26</v>
      </c>
      <c r="E355" s="1">
        <v>45166</v>
      </c>
      <c r="F355" s="1">
        <v>45171</v>
      </c>
      <c r="G355">
        <v>34.299999999999997</v>
      </c>
      <c r="H355">
        <v>287.66000000000003</v>
      </c>
      <c r="I355" t="s">
        <v>16</v>
      </c>
      <c r="J355">
        <v>2065</v>
      </c>
      <c r="K355">
        <v>5</v>
      </c>
    </row>
    <row r="356" spans="1:11">
      <c r="A356" t="s">
        <v>403</v>
      </c>
      <c r="B356" t="s">
        <v>36</v>
      </c>
      <c r="C356" t="s">
        <v>71</v>
      </c>
      <c r="D356" t="s">
        <v>15</v>
      </c>
      <c r="E356" s="1">
        <v>45059</v>
      </c>
      <c r="F356" s="1">
        <v>45066</v>
      </c>
      <c r="G356">
        <v>13.7</v>
      </c>
      <c r="H356">
        <v>341.16</v>
      </c>
      <c r="I356" t="s">
        <v>16</v>
      </c>
      <c r="J356">
        <v>2361</v>
      </c>
      <c r="K356">
        <v>7</v>
      </c>
    </row>
    <row r="357" spans="1:11">
      <c r="A357" t="s">
        <v>404</v>
      </c>
      <c r="B357" t="s">
        <v>13</v>
      </c>
      <c r="C357" t="s">
        <v>14</v>
      </c>
      <c r="D357" t="s">
        <v>19</v>
      </c>
      <c r="E357" s="1">
        <v>45288</v>
      </c>
      <c r="F357" s="1">
        <v>45292</v>
      </c>
      <c r="G357">
        <v>31.2</v>
      </c>
      <c r="H357">
        <v>274.73</v>
      </c>
      <c r="I357" t="s">
        <v>16</v>
      </c>
      <c r="J357">
        <v>1415</v>
      </c>
      <c r="K357">
        <v>4</v>
      </c>
    </row>
    <row r="358" spans="1:11">
      <c r="A358" t="s">
        <v>405</v>
      </c>
      <c r="B358" t="s">
        <v>28</v>
      </c>
      <c r="C358" t="s">
        <v>41</v>
      </c>
      <c r="D358" t="s">
        <v>43</v>
      </c>
      <c r="E358" s="1">
        <v>45249</v>
      </c>
      <c r="F358" s="1">
        <v>45254</v>
      </c>
      <c r="G358">
        <v>18.7</v>
      </c>
      <c r="H358">
        <v>270.75</v>
      </c>
      <c r="I358" t="s">
        <v>16</v>
      </c>
      <c r="J358">
        <v>1679</v>
      </c>
      <c r="K358">
        <v>5</v>
      </c>
    </row>
    <row r="359" spans="1:11">
      <c r="A359" t="s">
        <v>406</v>
      </c>
      <c r="B359" t="s">
        <v>28</v>
      </c>
      <c r="C359" t="s">
        <v>47</v>
      </c>
      <c r="D359" t="s">
        <v>19</v>
      </c>
      <c r="E359" s="1">
        <v>45174</v>
      </c>
      <c r="F359" s="1">
        <v>45177</v>
      </c>
      <c r="G359">
        <v>30</v>
      </c>
      <c r="H359">
        <v>187.33</v>
      </c>
      <c r="I359" t="s">
        <v>16</v>
      </c>
      <c r="J359">
        <v>1180</v>
      </c>
      <c r="K359">
        <v>3</v>
      </c>
    </row>
    <row r="360" spans="1:11">
      <c r="A360" t="s">
        <v>407</v>
      </c>
      <c r="B360" t="s">
        <v>50</v>
      </c>
      <c r="C360" t="s">
        <v>29</v>
      </c>
      <c r="D360" t="s">
        <v>60</v>
      </c>
      <c r="E360" s="1">
        <v>44967</v>
      </c>
      <c r="F360" s="1">
        <v>44970</v>
      </c>
      <c r="G360">
        <v>20.7</v>
      </c>
      <c r="H360">
        <v>201.34</v>
      </c>
      <c r="I360" t="s">
        <v>16</v>
      </c>
      <c r="J360">
        <v>1515</v>
      </c>
      <c r="K360">
        <v>3</v>
      </c>
    </row>
    <row r="361" spans="1:11">
      <c r="A361" t="s">
        <v>408</v>
      </c>
      <c r="B361" t="s">
        <v>36</v>
      </c>
      <c r="C361" t="s">
        <v>41</v>
      </c>
      <c r="D361" t="s">
        <v>38</v>
      </c>
      <c r="E361" s="1">
        <v>45240</v>
      </c>
      <c r="F361" s="1">
        <v>45242</v>
      </c>
      <c r="G361">
        <v>27.2</v>
      </c>
      <c r="H361">
        <v>87.22</v>
      </c>
      <c r="I361" t="s">
        <v>16</v>
      </c>
      <c r="J361">
        <v>283</v>
      </c>
      <c r="K361">
        <v>2</v>
      </c>
    </row>
    <row r="362" spans="1:11">
      <c r="A362" t="s">
        <v>409</v>
      </c>
      <c r="B362" t="s">
        <v>13</v>
      </c>
      <c r="C362" t="s">
        <v>53</v>
      </c>
      <c r="D362" t="s">
        <v>15</v>
      </c>
      <c r="E362" s="1">
        <v>44981</v>
      </c>
      <c r="F362" s="1">
        <v>44989</v>
      </c>
      <c r="G362">
        <v>10.6</v>
      </c>
      <c r="H362">
        <v>78.78</v>
      </c>
      <c r="I362" t="s">
        <v>48</v>
      </c>
      <c r="J362">
        <v>517</v>
      </c>
      <c r="K362">
        <v>2</v>
      </c>
    </row>
    <row r="363" spans="1:11">
      <c r="A363" t="s">
        <v>410</v>
      </c>
      <c r="B363" t="s">
        <v>57</v>
      </c>
      <c r="C363" t="s">
        <v>58</v>
      </c>
      <c r="D363" t="s">
        <v>38</v>
      </c>
      <c r="E363" s="1">
        <v>45006</v>
      </c>
      <c r="F363" s="1">
        <v>45009</v>
      </c>
      <c r="G363">
        <v>6.9</v>
      </c>
      <c r="H363">
        <v>23.19</v>
      </c>
      <c r="I363" t="s">
        <v>16</v>
      </c>
      <c r="J363">
        <v>140</v>
      </c>
      <c r="K363">
        <v>3</v>
      </c>
    </row>
    <row r="364" spans="1:11">
      <c r="A364" t="s">
        <v>411</v>
      </c>
      <c r="B364" t="s">
        <v>50</v>
      </c>
      <c r="C364" t="s">
        <v>71</v>
      </c>
      <c r="D364" t="s">
        <v>33</v>
      </c>
      <c r="E364" s="1">
        <v>45192</v>
      </c>
      <c r="F364" s="1">
        <v>45198</v>
      </c>
      <c r="G364">
        <v>17.100000000000001</v>
      </c>
      <c r="H364">
        <v>309.74</v>
      </c>
      <c r="I364" t="s">
        <v>16</v>
      </c>
      <c r="J364">
        <v>2081</v>
      </c>
      <c r="K364">
        <v>6</v>
      </c>
    </row>
    <row r="365" spans="1:11">
      <c r="A365" t="s">
        <v>412</v>
      </c>
      <c r="B365" t="s">
        <v>57</v>
      </c>
      <c r="C365" t="s">
        <v>71</v>
      </c>
      <c r="D365" t="s">
        <v>15</v>
      </c>
      <c r="E365" s="1">
        <v>45086</v>
      </c>
      <c r="F365" s="1">
        <v>45092</v>
      </c>
      <c r="G365">
        <v>33.1</v>
      </c>
      <c r="H365">
        <v>283.18</v>
      </c>
      <c r="I365" t="s">
        <v>16</v>
      </c>
      <c r="J365">
        <v>1885</v>
      </c>
      <c r="K365">
        <v>6</v>
      </c>
    </row>
    <row r="366" spans="1:11">
      <c r="A366" t="s">
        <v>413</v>
      </c>
      <c r="B366" t="s">
        <v>28</v>
      </c>
      <c r="C366" t="s">
        <v>37</v>
      </c>
      <c r="D366" t="s">
        <v>26</v>
      </c>
      <c r="E366" s="1">
        <v>45163</v>
      </c>
      <c r="F366" s="1">
        <v>45165</v>
      </c>
      <c r="G366">
        <v>18.7</v>
      </c>
      <c r="H366">
        <v>90.94</v>
      </c>
      <c r="I366" t="s">
        <v>16</v>
      </c>
      <c r="J366">
        <v>604</v>
      </c>
      <c r="K366">
        <v>2</v>
      </c>
    </row>
    <row r="367" spans="1:11">
      <c r="A367" t="s">
        <v>414</v>
      </c>
      <c r="B367" t="s">
        <v>28</v>
      </c>
      <c r="C367" t="s">
        <v>37</v>
      </c>
      <c r="D367" t="s">
        <v>19</v>
      </c>
      <c r="E367" s="1">
        <v>45083</v>
      </c>
      <c r="F367" s="1">
        <v>45087</v>
      </c>
      <c r="G367">
        <v>21.1</v>
      </c>
      <c r="H367">
        <v>141.97999999999999</v>
      </c>
      <c r="I367" t="s">
        <v>16</v>
      </c>
      <c r="J367">
        <v>847</v>
      </c>
      <c r="K367">
        <v>4</v>
      </c>
    </row>
    <row r="368" spans="1:11">
      <c r="A368" t="s">
        <v>415</v>
      </c>
      <c r="B368" t="s">
        <v>24</v>
      </c>
      <c r="C368" t="s">
        <v>47</v>
      </c>
      <c r="D368" t="s">
        <v>33</v>
      </c>
      <c r="E368" s="1">
        <v>45272</v>
      </c>
      <c r="F368" s="1">
        <v>45283</v>
      </c>
      <c r="G368">
        <v>55.1</v>
      </c>
      <c r="H368">
        <v>474.36</v>
      </c>
      <c r="I368" t="s">
        <v>48</v>
      </c>
      <c r="J368">
        <v>2247</v>
      </c>
      <c r="K368">
        <v>6</v>
      </c>
    </row>
    <row r="369" spans="1:11">
      <c r="A369" t="s">
        <v>416</v>
      </c>
      <c r="B369" t="s">
        <v>28</v>
      </c>
      <c r="C369" t="s">
        <v>45</v>
      </c>
      <c r="D369" t="s">
        <v>26</v>
      </c>
      <c r="E369" s="1">
        <v>45041</v>
      </c>
      <c r="F369" s="1">
        <v>45047</v>
      </c>
      <c r="G369">
        <v>14.6</v>
      </c>
      <c r="H369">
        <v>293.83</v>
      </c>
      <c r="I369" t="s">
        <v>16</v>
      </c>
      <c r="J369">
        <v>2420</v>
      </c>
      <c r="K369">
        <v>6</v>
      </c>
    </row>
    <row r="370" spans="1:11">
      <c r="A370" t="s">
        <v>417</v>
      </c>
      <c r="B370" t="s">
        <v>13</v>
      </c>
      <c r="C370" t="s">
        <v>82</v>
      </c>
      <c r="D370" t="s">
        <v>33</v>
      </c>
      <c r="E370" s="1">
        <v>45005</v>
      </c>
      <c r="F370" s="1">
        <v>45011</v>
      </c>
      <c r="G370">
        <v>20.5</v>
      </c>
      <c r="H370">
        <v>315.45999999999998</v>
      </c>
      <c r="I370" t="s">
        <v>16</v>
      </c>
      <c r="J370">
        <v>2294</v>
      </c>
      <c r="K370">
        <v>6</v>
      </c>
    </row>
    <row r="371" spans="1:11">
      <c r="A371" t="s">
        <v>418</v>
      </c>
      <c r="B371" t="s">
        <v>50</v>
      </c>
      <c r="C371" t="s">
        <v>18</v>
      </c>
      <c r="D371" t="s">
        <v>19</v>
      </c>
      <c r="E371" s="1">
        <v>45030</v>
      </c>
      <c r="F371" s="1">
        <v>45035</v>
      </c>
      <c r="G371">
        <v>16.8</v>
      </c>
      <c r="H371">
        <v>303.11</v>
      </c>
      <c r="I371" t="s">
        <v>16</v>
      </c>
      <c r="J371">
        <v>2091</v>
      </c>
      <c r="K371">
        <v>5</v>
      </c>
    </row>
    <row r="372" spans="1:11">
      <c r="A372" t="s">
        <v>419</v>
      </c>
      <c r="B372" t="s">
        <v>24</v>
      </c>
      <c r="C372" t="s">
        <v>71</v>
      </c>
      <c r="D372" t="s">
        <v>26</v>
      </c>
      <c r="E372" s="1">
        <v>45004</v>
      </c>
      <c r="F372" s="1">
        <v>45008</v>
      </c>
      <c r="G372">
        <v>31.2</v>
      </c>
      <c r="H372">
        <v>206.1</v>
      </c>
      <c r="I372" t="s">
        <v>16</v>
      </c>
      <c r="J372">
        <v>1358</v>
      </c>
      <c r="K372">
        <v>4</v>
      </c>
    </row>
    <row r="373" spans="1:11">
      <c r="A373" t="s">
        <v>420</v>
      </c>
      <c r="B373" t="s">
        <v>28</v>
      </c>
      <c r="C373" t="s">
        <v>71</v>
      </c>
      <c r="D373" t="s">
        <v>33</v>
      </c>
      <c r="E373" s="1">
        <v>45196</v>
      </c>
      <c r="F373" s="1">
        <v>45198</v>
      </c>
      <c r="G373">
        <v>16</v>
      </c>
      <c r="H373">
        <v>87.01</v>
      </c>
      <c r="I373" t="s">
        <v>68</v>
      </c>
      <c r="J373">
        <v>484</v>
      </c>
      <c r="K373">
        <v>2</v>
      </c>
    </row>
    <row r="374" spans="1:11">
      <c r="A374" t="s">
        <v>421</v>
      </c>
      <c r="B374" t="s">
        <v>13</v>
      </c>
      <c r="C374" t="s">
        <v>55</v>
      </c>
      <c r="D374" t="s">
        <v>33</v>
      </c>
      <c r="E374" s="1">
        <v>45246</v>
      </c>
      <c r="F374" s="1">
        <v>45247</v>
      </c>
      <c r="G374">
        <v>11</v>
      </c>
      <c r="H374">
        <v>122.5</v>
      </c>
      <c r="I374" t="s">
        <v>16</v>
      </c>
      <c r="J374">
        <v>675</v>
      </c>
      <c r="K374">
        <v>1</v>
      </c>
    </row>
    <row r="375" spans="1:11">
      <c r="A375" t="s">
        <v>422</v>
      </c>
      <c r="B375" t="s">
        <v>31</v>
      </c>
      <c r="C375" t="s">
        <v>41</v>
      </c>
      <c r="D375" t="s">
        <v>60</v>
      </c>
      <c r="E375" s="1">
        <v>45086</v>
      </c>
      <c r="F375" s="1">
        <v>45092</v>
      </c>
      <c r="G375">
        <v>37.9</v>
      </c>
      <c r="H375">
        <v>236.61</v>
      </c>
      <c r="I375" t="s">
        <v>16</v>
      </c>
      <c r="J375">
        <v>1884</v>
      </c>
      <c r="K375">
        <v>6</v>
      </c>
    </row>
    <row r="376" spans="1:11">
      <c r="A376" t="s">
        <v>423</v>
      </c>
      <c r="B376" t="s">
        <v>13</v>
      </c>
      <c r="C376" t="s">
        <v>45</v>
      </c>
      <c r="D376" t="s">
        <v>33</v>
      </c>
      <c r="E376" s="1">
        <v>45150</v>
      </c>
      <c r="F376" s="1">
        <v>45155</v>
      </c>
      <c r="G376">
        <v>21.8</v>
      </c>
      <c r="H376">
        <v>299.39999999999998</v>
      </c>
      <c r="I376" t="s">
        <v>16</v>
      </c>
      <c r="J376">
        <v>2196</v>
      </c>
      <c r="K376">
        <v>5</v>
      </c>
    </row>
    <row r="377" spans="1:11">
      <c r="A377" t="s">
        <v>424</v>
      </c>
      <c r="B377" t="s">
        <v>36</v>
      </c>
      <c r="C377" t="s">
        <v>18</v>
      </c>
      <c r="D377" t="s">
        <v>60</v>
      </c>
      <c r="E377" s="1">
        <v>45042</v>
      </c>
      <c r="F377" s="1">
        <v>45048</v>
      </c>
      <c r="G377">
        <v>6</v>
      </c>
      <c r="H377">
        <v>253.02</v>
      </c>
      <c r="I377" t="s">
        <v>16</v>
      </c>
      <c r="J377">
        <v>2325</v>
      </c>
      <c r="K377">
        <v>6</v>
      </c>
    </row>
    <row r="378" spans="1:11">
      <c r="A378" t="s">
        <v>425</v>
      </c>
      <c r="B378" t="s">
        <v>21</v>
      </c>
      <c r="C378" t="s">
        <v>47</v>
      </c>
      <c r="D378" t="s">
        <v>60</v>
      </c>
      <c r="E378" s="1">
        <v>45116</v>
      </c>
      <c r="F378" s="1">
        <v>45119</v>
      </c>
      <c r="G378">
        <v>37.9</v>
      </c>
      <c r="H378">
        <v>171.78</v>
      </c>
      <c r="I378" t="s">
        <v>63</v>
      </c>
      <c r="J378">
        <v>1014</v>
      </c>
      <c r="K378">
        <v>3</v>
      </c>
    </row>
    <row r="379" spans="1:11">
      <c r="A379" t="s">
        <v>426</v>
      </c>
      <c r="B379" t="s">
        <v>24</v>
      </c>
      <c r="C379" t="s">
        <v>29</v>
      </c>
      <c r="D379" t="s">
        <v>15</v>
      </c>
      <c r="E379" s="1">
        <v>44967</v>
      </c>
      <c r="F379" s="1">
        <v>44972</v>
      </c>
      <c r="G379">
        <v>14.8</v>
      </c>
      <c r="H379">
        <v>286.7</v>
      </c>
      <c r="I379" t="s">
        <v>16</v>
      </c>
      <c r="J379">
        <v>2050</v>
      </c>
      <c r="K379">
        <v>5</v>
      </c>
    </row>
    <row r="380" spans="1:11">
      <c r="A380" t="s">
        <v>427</v>
      </c>
      <c r="B380" t="s">
        <v>57</v>
      </c>
      <c r="C380" t="s">
        <v>29</v>
      </c>
      <c r="D380" t="s">
        <v>15</v>
      </c>
      <c r="E380" s="1">
        <v>45135</v>
      </c>
      <c r="F380" s="1">
        <v>45141</v>
      </c>
      <c r="G380">
        <v>9.1</v>
      </c>
      <c r="H380">
        <v>75.28</v>
      </c>
      <c r="I380" t="s">
        <v>48</v>
      </c>
      <c r="J380">
        <v>474</v>
      </c>
      <c r="K380">
        <v>5</v>
      </c>
    </row>
    <row r="381" spans="1:11">
      <c r="A381" t="s">
        <v>428</v>
      </c>
      <c r="B381" t="s">
        <v>31</v>
      </c>
      <c r="C381" t="s">
        <v>71</v>
      </c>
      <c r="D381" t="s">
        <v>26</v>
      </c>
      <c r="E381" s="1">
        <v>45195</v>
      </c>
      <c r="F381" s="1">
        <v>45196</v>
      </c>
      <c r="G381">
        <v>9.5</v>
      </c>
      <c r="H381">
        <v>77.13</v>
      </c>
      <c r="I381" t="s">
        <v>16</v>
      </c>
      <c r="J381">
        <v>498</v>
      </c>
      <c r="K381">
        <v>1</v>
      </c>
    </row>
    <row r="382" spans="1:11">
      <c r="A382" t="s">
        <v>429</v>
      </c>
      <c r="B382" t="s">
        <v>24</v>
      </c>
      <c r="C382" t="s">
        <v>37</v>
      </c>
      <c r="D382" t="s">
        <v>26</v>
      </c>
      <c r="E382" s="1">
        <v>45249</v>
      </c>
      <c r="F382" s="1">
        <v>45253</v>
      </c>
      <c r="G382">
        <v>33.6</v>
      </c>
      <c r="H382">
        <v>291.85000000000002</v>
      </c>
      <c r="I382" t="s">
        <v>16</v>
      </c>
      <c r="J382">
        <v>1512</v>
      </c>
      <c r="K382">
        <v>4</v>
      </c>
    </row>
    <row r="383" spans="1:11">
      <c r="A383" t="s">
        <v>430</v>
      </c>
      <c r="B383" t="s">
        <v>13</v>
      </c>
      <c r="C383" t="s">
        <v>18</v>
      </c>
      <c r="D383" t="s">
        <v>60</v>
      </c>
      <c r="E383" s="1">
        <v>45237</v>
      </c>
      <c r="F383" s="1">
        <v>45242</v>
      </c>
      <c r="G383">
        <v>40.299999999999997</v>
      </c>
      <c r="H383">
        <v>206.28</v>
      </c>
      <c r="I383" t="s">
        <v>16</v>
      </c>
      <c r="J383">
        <v>1076</v>
      </c>
      <c r="K383">
        <v>5</v>
      </c>
    </row>
    <row r="384" spans="1:11">
      <c r="A384" t="s">
        <v>431</v>
      </c>
      <c r="B384" t="s">
        <v>52</v>
      </c>
      <c r="C384" t="s">
        <v>37</v>
      </c>
      <c r="D384" t="s">
        <v>26</v>
      </c>
      <c r="E384" s="1">
        <v>45009</v>
      </c>
      <c r="F384" s="1">
        <v>45012</v>
      </c>
      <c r="G384">
        <v>15</v>
      </c>
      <c r="H384">
        <v>141.6</v>
      </c>
      <c r="I384" t="s">
        <v>16</v>
      </c>
      <c r="J384">
        <v>1115</v>
      </c>
      <c r="K384">
        <v>3</v>
      </c>
    </row>
    <row r="385" spans="1:11">
      <c r="A385" t="s">
        <v>432</v>
      </c>
      <c r="B385" t="s">
        <v>28</v>
      </c>
      <c r="C385" t="s">
        <v>45</v>
      </c>
      <c r="D385" t="s">
        <v>43</v>
      </c>
      <c r="E385" s="1">
        <v>45183</v>
      </c>
      <c r="F385" s="1">
        <v>45185</v>
      </c>
      <c r="G385">
        <v>75.400000000000006</v>
      </c>
      <c r="H385">
        <v>109.7</v>
      </c>
      <c r="I385" t="s">
        <v>16</v>
      </c>
      <c r="J385">
        <v>242</v>
      </c>
      <c r="K385">
        <v>2</v>
      </c>
    </row>
    <row r="386" spans="1:11">
      <c r="A386" t="s">
        <v>433</v>
      </c>
      <c r="B386" t="s">
        <v>21</v>
      </c>
      <c r="C386" t="s">
        <v>41</v>
      </c>
      <c r="D386" t="s">
        <v>60</v>
      </c>
      <c r="E386" s="1">
        <v>45283</v>
      </c>
      <c r="F386" s="1">
        <v>45284</v>
      </c>
      <c r="G386">
        <v>6.4</v>
      </c>
      <c r="H386">
        <v>78.84</v>
      </c>
      <c r="I386" t="s">
        <v>16</v>
      </c>
      <c r="J386">
        <v>534</v>
      </c>
      <c r="K386">
        <v>1</v>
      </c>
    </row>
    <row r="387" spans="1:11">
      <c r="A387" t="s">
        <v>434</v>
      </c>
      <c r="B387" t="s">
        <v>36</v>
      </c>
      <c r="C387" t="s">
        <v>14</v>
      </c>
      <c r="D387" t="s">
        <v>26</v>
      </c>
      <c r="E387" s="1">
        <v>45154</v>
      </c>
      <c r="F387" s="1">
        <v>45160</v>
      </c>
      <c r="G387">
        <v>44.4</v>
      </c>
      <c r="H387">
        <v>179.93</v>
      </c>
      <c r="I387" t="s">
        <v>16</v>
      </c>
      <c r="J387">
        <v>1059</v>
      </c>
      <c r="K387">
        <v>6</v>
      </c>
    </row>
    <row r="388" spans="1:11">
      <c r="A388" t="s">
        <v>435</v>
      </c>
      <c r="B388" t="s">
        <v>28</v>
      </c>
      <c r="C388" t="s">
        <v>58</v>
      </c>
      <c r="D388" t="s">
        <v>38</v>
      </c>
      <c r="E388" s="1">
        <v>45104</v>
      </c>
      <c r="F388" s="1">
        <v>45109</v>
      </c>
      <c r="G388">
        <v>11.7</v>
      </c>
      <c r="H388">
        <v>140.32</v>
      </c>
      <c r="I388" t="s">
        <v>16</v>
      </c>
      <c r="J388">
        <v>1060</v>
      </c>
      <c r="K388">
        <v>5</v>
      </c>
    </row>
    <row r="389" spans="1:11">
      <c r="A389" t="s">
        <v>436</v>
      </c>
      <c r="B389" t="s">
        <v>40</v>
      </c>
      <c r="C389" t="s">
        <v>71</v>
      </c>
      <c r="D389" t="s">
        <v>15</v>
      </c>
      <c r="E389" s="1">
        <v>44988</v>
      </c>
      <c r="F389" s="1">
        <v>44993</v>
      </c>
      <c r="G389">
        <v>24.4</v>
      </c>
      <c r="H389">
        <v>326.92</v>
      </c>
      <c r="I389" t="s">
        <v>16</v>
      </c>
      <c r="J389">
        <v>2330</v>
      </c>
      <c r="K389">
        <v>5</v>
      </c>
    </row>
    <row r="390" spans="1:11">
      <c r="A390" t="s">
        <v>437</v>
      </c>
      <c r="B390" t="s">
        <v>57</v>
      </c>
      <c r="C390" t="s">
        <v>45</v>
      </c>
      <c r="D390" t="s">
        <v>33</v>
      </c>
      <c r="E390" s="1">
        <v>45190</v>
      </c>
      <c r="F390" s="1">
        <v>45195</v>
      </c>
      <c r="G390">
        <v>20.9</v>
      </c>
      <c r="H390">
        <v>268.01</v>
      </c>
      <c r="I390" t="s">
        <v>16</v>
      </c>
      <c r="J390">
        <v>1867</v>
      </c>
      <c r="K390">
        <v>5</v>
      </c>
    </row>
    <row r="391" spans="1:11">
      <c r="A391" t="s">
        <v>438</v>
      </c>
      <c r="B391" t="s">
        <v>13</v>
      </c>
      <c r="C391" t="s">
        <v>47</v>
      </c>
      <c r="D391" t="s">
        <v>26</v>
      </c>
      <c r="E391" s="1">
        <v>45172</v>
      </c>
      <c r="F391" s="1">
        <v>45180</v>
      </c>
      <c r="G391">
        <v>17.7</v>
      </c>
      <c r="I391" t="s">
        <v>16</v>
      </c>
      <c r="J391">
        <v>2465</v>
      </c>
      <c r="K391">
        <v>8</v>
      </c>
    </row>
    <row r="392" spans="1:11">
      <c r="A392" t="s">
        <v>439</v>
      </c>
      <c r="B392" t="s">
        <v>50</v>
      </c>
      <c r="C392" t="s">
        <v>29</v>
      </c>
      <c r="D392" t="s">
        <v>15</v>
      </c>
      <c r="E392" s="1">
        <v>45092</v>
      </c>
      <c r="F392" s="1">
        <v>45098</v>
      </c>
      <c r="G392">
        <v>9.1999999999999993</v>
      </c>
      <c r="H392">
        <v>286.14999999999998</v>
      </c>
      <c r="I392" t="s">
        <v>16</v>
      </c>
      <c r="J392">
        <v>2096</v>
      </c>
      <c r="K392">
        <v>6</v>
      </c>
    </row>
    <row r="393" spans="1:11">
      <c r="A393" t="s">
        <v>440</v>
      </c>
      <c r="B393" t="s">
        <v>21</v>
      </c>
      <c r="C393" t="s">
        <v>14</v>
      </c>
      <c r="D393" t="s">
        <v>38</v>
      </c>
      <c r="E393" s="1">
        <v>45150</v>
      </c>
      <c r="F393" s="1">
        <v>45157</v>
      </c>
      <c r="G393">
        <v>32.4</v>
      </c>
      <c r="H393">
        <v>332.08</v>
      </c>
      <c r="I393" t="s">
        <v>16</v>
      </c>
      <c r="J393">
        <v>2409</v>
      </c>
      <c r="K393">
        <v>7</v>
      </c>
    </row>
    <row r="394" spans="1:11">
      <c r="A394" t="s">
        <v>441</v>
      </c>
      <c r="B394" t="s">
        <v>28</v>
      </c>
      <c r="C394" t="s">
        <v>47</v>
      </c>
      <c r="D394" t="s">
        <v>33</v>
      </c>
      <c r="E394" s="1">
        <v>44953</v>
      </c>
      <c r="F394" s="1">
        <v>44956</v>
      </c>
      <c r="G394">
        <v>110.9</v>
      </c>
      <c r="H394">
        <v>283.94</v>
      </c>
      <c r="I394" t="s">
        <v>16</v>
      </c>
      <c r="J394">
        <v>1032</v>
      </c>
      <c r="K394">
        <v>3</v>
      </c>
    </row>
    <row r="395" spans="1:11">
      <c r="A395" t="s">
        <v>442</v>
      </c>
      <c r="B395" t="s">
        <v>52</v>
      </c>
      <c r="C395" t="s">
        <v>18</v>
      </c>
      <c r="D395" t="s">
        <v>33</v>
      </c>
      <c r="E395" s="1">
        <v>45145</v>
      </c>
      <c r="F395" s="1">
        <v>45147</v>
      </c>
      <c r="G395">
        <v>50.4</v>
      </c>
      <c r="H395">
        <v>175.48</v>
      </c>
      <c r="I395" t="s">
        <v>16</v>
      </c>
      <c r="J395">
        <v>870</v>
      </c>
      <c r="K395">
        <v>2</v>
      </c>
    </row>
    <row r="396" spans="1:11">
      <c r="A396" t="s">
        <v>443</v>
      </c>
      <c r="B396" t="s">
        <v>21</v>
      </c>
      <c r="C396" t="s">
        <v>37</v>
      </c>
      <c r="D396" t="s">
        <v>33</v>
      </c>
      <c r="E396" s="1">
        <v>45078</v>
      </c>
      <c r="F396" s="1">
        <v>45084</v>
      </c>
      <c r="G396">
        <v>54.4</v>
      </c>
      <c r="H396">
        <v>284.26</v>
      </c>
      <c r="I396" t="s">
        <v>16</v>
      </c>
      <c r="J396">
        <v>1616</v>
      </c>
      <c r="K396">
        <v>6</v>
      </c>
    </row>
    <row r="397" spans="1:11">
      <c r="A397" t="s">
        <v>444</v>
      </c>
      <c r="B397" t="s">
        <v>50</v>
      </c>
      <c r="C397" t="s">
        <v>29</v>
      </c>
      <c r="D397" t="s">
        <v>19</v>
      </c>
      <c r="E397" s="1">
        <v>44990</v>
      </c>
      <c r="F397" s="1">
        <v>45002</v>
      </c>
      <c r="G397">
        <v>34.5</v>
      </c>
      <c r="H397">
        <v>233.71</v>
      </c>
      <c r="I397" t="s">
        <v>48</v>
      </c>
      <c r="J397">
        <v>1366</v>
      </c>
      <c r="K397">
        <v>4</v>
      </c>
    </row>
    <row r="398" spans="1:11">
      <c r="A398" t="s">
        <v>445</v>
      </c>
      <c r="B398" t="s">
        <v>21</v>
      </c>
      <c r="C398" t="s">
        <v>82</v>
      </c>
      <c r="D398" t="s">
        <v>15</v>
      </c>
      <c r="E398" s="1">
        <v>45025</v>
      </c>
      <c r="F398" s="1">
        <v>45031</v>
      </c>
      <c r="G398">
        <v>9.5</v>
      </c>
      <c r="H398">
        <v>228.41</v>
      </c>
      <c r="I398" t="s">
        <v>16</v>
      </c>
      <c r="J398">
        <v>1802</v>
      </c>
      <c r="K398">
        <v>6</v>
      </c>
    </row>
    <row r="399" spans="1:11">
      <c r="A399" t="s">
        <v>446</v>
      </c>
      <c r="B399" t="s">
        <v>31</v>
      </c>
      <c r="C399" t="s">
        <v>41</v>
      </c>
      <c r="D399" t="s">
        <v>38</v>
      </c>
      <c r="E399" s="1">
        <v>45091</v>
      </c>
      <c r="F399" s="1">
        <v>45061</v>
      </c>
      <c r="G399">
        <v>58</v>
      </c>
      <c r="H399">
        <v>90.41</v>
      </c>
      <c r="I399" t="s">
        <v>16</v>
      </c>
      <c r="J399">
        <v>196</v>
      </c>
      <c r="K399">
        <v>2</v>
      </c>
    </row>
    <row r="400" spans="1:11">
      <c r="A400" t="s">
        <v>447</v>
      </c>
      <c r="B400" t="s">
        <v>24</v>
      </c>
      <c r="C400" t="s">
        <v>18</v>
      </c>
      <c r="D400" t="s">
        <v>26</v>
      </c>
      <c r="E400" s="1">
        <v>45278</v>
      </c>
      <c r="F400" s="1">
        <v>45285</v>
      </c>
      <c r="G400">
        <v>10.8</v>
      </c>
      <c r="H400">
        <v>400.75</v>
      </c>
      <c r="I400" t="s">
        <v>16</v>
      </c>
      <c r="J400">
        <v>2425</v>
      </c>
      <c r="K400">
        <v>7</v>
      </c>
    </row>
    <row r="401" spans="1:11">
      <c r="A401" t="s">
        <v>448</v>
      </c>
      <c r="B401" t="s">
        <v>50</v>
      </c>
      <c r="C401" t="s">
        <v>18</v>
      </c>
      <c r="D401" t="s">
        <v>26</v>
      </c>
      <c r="E401" s="1">
        <v>44995</v>
      </c>
      <c r="F401" s="1">
        <v>44999</v>
      </c>
      <c r="G401">
        <v>26</v>
      </c>
      <c r="H401">
        <v>222.33</v>
      </c>
      <c r="I401" t="s">
        <v>16</v>
      </c>
      <c r="J401">
        <v>1641</v>
      </c>
      <c r="K401">
        <v>4</v>
      </c>
    </row>
    <row r="402" spans="1:11">
      <c r="A402" t="s">
        <v>449</v>
      </c>
      <c r="B402" t="s">
        <v>31</v>
      </c>
      <c r="C402" t="s">
        <v>14</v>
      </c>
      <c r="D402" t="s">
        <v>38</v>
      </c>
      <c r="E402" s="1">
        <v>45261</v>
      </c>
      <c r="F402" s="1">
        <v>45266</v>
      </c>
      <c r="G402">
        <v>6.5</v>
      </c>
      <c r="H402">
        <v>28.34</v>
      </c>
      <c r="I402" t="s">
        <v>61</v>
      </c>
      <c r="J402">
        <v>129</v>
      </c>
      <c r="K402">
        <v>2</v>
      </c>
    </row>
    <row r="403" spans="1:11">
      <c r="A403" t="s">
        <v>450</v>
      </c>
      <c r="B403" t="s">
        <v>31</v>
      </c>
      <c r="C403" t="s">
        <v>37</v>
      </c>
      <c r="D403" t="s">
        <v>43</v>
      </c>
      <c r="E403" s="1">
        <v>45227</v>
      </c>
      <c r="F403" s="1">
        <v>45231</v>
      </c>
      <c r="G403">
        <v>6.9</v>
      </c>
      <c r="H403">
        <v>194.18</v>
      </c>
      <c r="I403" t="s">
        <v>16</v>
      </c>
      <c r="J403">
        <v>1649</v>
      </c>
      <c r="K403">
        <v>4</v>
      </c>
    </row>
    <row r="404" spans="1:11">
      <c r="A404" t="s">
        <v>451</v>
      </c>
      <c r="B404" t="s">
        <v>13</v>
      </c>
      <c r="C404" t="s">
        <v>47</v>
      </c>
      <c r="D404" t="s">
        <v>19</v>
      </c>
      <c r="E404" s="1">
        <v>44969</v>
      </c>
      <c r="F404" s="1">
        <v>44989</v>
      </c>
      <c r="G404">
        <v>29.5</v>
      </c>
      <c r="H404">
        <v>224.76</v>
      </c>
      <c r="I404" t="s">
        <v>48</v>
      </c>
      <c r="J404">
        <v>1289</v>
      </c>
      <c r="K404">
        <v>8</v>
      </c>
    </row>
    <row r="405" spans="1:11">
      <c r="A405" t="s">
        <v>452</v>
      </c>
      <c r="B405" t="s">
        <v>52</v>
      </c>
      <c r="C405" t="s">
        <v>29</v>
      </c>
      <c r="D405" t="s">
        <v>43</v>
      </c>
      <c r="E405" s="1">
        <v>45277</v>
      </c>
      <c r="F405" s="1">
        <v>45278</v>
      </c>
      <c r="G405">
        <v>12.7</v>
      </c>
      <c r="H405">
        <v>56.43</v>
      </c>
      <c r="I405" t="s">
        <v>16</v>
      </c>
      <c r="J405">
        <v>273</v>
      </c>
      <c r="K405">
        <v>1</v>
      </c>
    </row>
    <row r="406" spans="1:11">
      <c r="A406" t="s">
        <v>453</v>
      </c>
      <c r="B406" t="s">
        <v>40</v>
      </c>
      <c r="C406" t="s">
        <v>55</v>
      </c>
      <c r="D406" t="s">
        <v>15</v>
      </c>
      <c r="E406" s="1">
        <v>45118</v>
      </c>
      <c r="F406" s="1">
        <v>45121</v>
      </c>
      <c r="G406">
        <v>29.1</v>
      </c>
      <c r="H406">
        <v>160.13999999999999</v>
      </c>
      <c r="I406" t="s">
        <v>16</v>
      </c>
      <c r="J406">
        <v>940</v>
      </c>
      <c r="K406">
        <v>3</v>
      </c>
    </row>
    <row r="407" spans="1:11">
      <c r="A407" t="s">
        <v>454</v>
      </c>
      <c r="B407" t="s">
        <v>31</v>
      </c>
      <c r="C407" t="s">
        <v>41</v>
      </c>
      <c r="D407" t="s">
        <v>60</v>
      </c>
      <c r="E407" s="1">
        <v>45254</v>
      </c>
      <c r="F407" s="1">
        <v>45258</v>
      </c>
      <c r="G407">
        <v>34.700000000000003</v>
      </c>
      <c r="H407">
        <v>329.19</v>
      </c>
      <c r="I407" t="s">
        <v>16</v>
      </c>
      <c r="J407">
        <v>1913</v>
      </c>
      <c r="K407">
        <v>4</v>
      </c>
    </row>
    <row r="408" spans="1:11">
      <c r="A408" t="s">
        <v>455</v>
      </c>
      <c r="B408" t="s">
        <v>21</v>
      </c>
      <c r="C408" t="s">
        <v>14</v>
      </c>
      <c r="D408" t="s">
        <v>43</v>
      </c>
      <c r="E408" s="1">
        <v>45104</v>
      </c>
      <c r="F408" s="1">
        <v>45105</v>
      </c>
      <c r="G408">
        <v>13.3</v>
      </c>
      <c r="H408">
        <v>42.44</v>
      </c>
      <c r="I408" t="s">
        <v>16</v>
      </c>
      <c r="J408">
        <v>252</v>
      </c>
      <c r="K408">
        <v>1</v>
      </c>
    </row>
    <row r="409" spans="1:11">
      <c r="A409" t="s">
        <v>456</v>
      </c>
      <c r="B409" t="s">
        <v>13</v>
      </c>
      <c r="C409" t="s">
        <v>53</v>
      </c>
      <c r="D409" t="s">
        <v>26</v>
      </c>
      <c r="E409" s="1">
        <v>45124</v>
      </c>
      <c r="F409" s="1">
        <v>45127</v>
      </c>
      <c r="G409">
        <v>29.3</v>
      </c>
      <c r="H409">
        <v>136.26</v>
      </c>
      <c r="I409" t="s">
        <v>63</v>
      </c>
      <c r="J409">
        <v>919</v>
      </c>
      <c r="K409">
        <v>3</v>
      </c>
    </row>
    <row r="410" spans="1:11">
      <c r="A410" t="s">
        <v>457</v>
      </c>
      <c r="B410" t="s">
        <v>36</v>
      </c>
      <c r="C410" t="s">
        <v>18</v>
      </c>
      <c r="D410" t="s">
        <v>26</v>
      </c>
      <c r="E410" s="1">
        <v>45262</v>
      </c>
      <c r="F410" s="1">
        <v>45267</v>
      </c>
      <c r="G410">
        <v>9.6</v>
      </c>
      <c r="H410">
        <v>154.66</v>
      </c>
      <c r="I410" t="s">
        <v>16</v>
      </c>
      <c r="J410">
        <v>1040</v>
      </c>
      <c r="K410">
        <v>5</v>
      </c>
    </row>
    <row r="411" spans="1:11">
      <c r="A411" t="s">
        <v>458</v>
      </c>
      <c r="B411" t="s">
        <v>24</v>
      </c>
      <c r="C411" t="s">
        <v>32</v>
      </c>
      <c r="D411" t="s">
        <v>33</v>
      </c>
      <c r="E411" s="1">
        <v>45051</v>
      </c>
      <c r="F411" s="1">
        <v>45057</v>
      </c>
      <c r="G411">
        <v>6.3</v>
      </c>
      <c r="H411">
        <v>267.55</v>
      </c>
      <c r="I411" t="s">
        <v>16</v>
      </c>
      <c r="J411">
        <v>2108</v>
      </c>
      <c r="K411">
        <v>6</v>
      </c>
    </row>
    <row r="412" spans="1:11">
      <c r="A412" t="s">
        <v>459</v>
      </c>
      <c r="B412" t="s">
        <v>28</v>
      </c>
      <c r="C412" t="s">
        <v>53</v>
      </c>
      <c r="D412" t="s">
        <v>43</v>
      </c>
      <c r="E412" s="1">
        <v>45202</v>
      </c>
      <c r="F412" s="1">
        <v>45206</v>
      </c>
      <c r="G412">
        <v>15.6</v>
      </c>
      <c r="H412">
        <v>95.5</v>
      </c>
      <c r="I412" t="s">
        <v>16</v>
      </c>
      <c r="J412">
        <v>627</v>
      </c>
      <c r="K412">
        <v>4</v>
      </c>
    </row>
    <row r="413" spans="1:11">
      <c r="A413" t="s">
        <v>460</v>
      </c>
      <c r="B413" t="s">
        <v>50</v>
      </c>
      <c r="C413" t="s">
        <v>22</v>
      </c>
      <c r="D413" t="s">
        <v>33</v>
      </c>
      <c r="E413" s="1">
        <v>45037</v>
      </c>
      <c r="F413" s="1">
        <v>45038</v>
      </c>
      <c r="G413">
        <v>8.6</v>
      </c>
      <c r="H413">
        <v>33.61</v>
      </c>
      <c r="I413" t="s">
        <v>61</v>
      </c>
      <c r="J413">
        <v>178</v>
      </c>
      <c r="K413">
        <v>1</v>
      </c>
    </row>
    <row r="414" spans="1:11">
      <c r="A414" t="s">
        <v>461</v>
      </c>
      <c r="B414" t="s">
        <v>13</v>
      </c>
      <c r="C414" t="s">
        <v>82</v>
      </c>
      <c r="D414" t="s">
        <v>60</v>
      </c>
      <c r="E414" s="1">
        <v>45169</v>
      </c>
      <c r="F414" s="1">
        <v>45171</v>
      </c>
      <c r="G414">
        <v>34.1</v>
      </c>
      <c r="H414">
        <v>114.04</v>
      </c>
      <c r="I414" t="s">
        <v>16</v>
      </c>
      <c r="J414">
        <v>616</v>
      </c>
      <c r="K414">
        <v>2</v>
      </c>
    </row>
    <row r="415" spans="1:11">
      <c r="A415" t="s">
        <v>462</v>
      </c>
      <c r="B415" t="s">
        <v>40</v>
      </c>
      <c r="C415" t="s">
        <v>18</v>
      </c>
      <c r="D415" t="s">
        <v>26</v>
      </c>
      <c r="E415" s="1">
        <v>44975</v>
      </c>
      <c r="F415" s="1">
        <v>44977</v>
      </c>
      <c r="G415">
        <v>21.1</v>
      </c>
      <c r="H415">
        <v>109.65</v>
      </c>
      <c r="I415" t="s">
        <v>16</v>
      </c>
      <c r="J415">
        <v>800</v>
      </c>
      <c r="K415">
        <v>2</v>
      </c>
    </row>
    <row r="416" spans="1:11">
      <c r="A416" t="s">
        <v>463</v>
      </c>
      <c r="B416" t="s">
        <v>21</v>
      </c>
      <c r="C416" t="s">
        <v>29</v>
      </c>
      <c r="D416" t="s">
        <v>38</v>
      </c>
      <c r="E416" s="1">
        <v>45091</v>
      </c>
      <c r="F416" s="1">
        <v>45095</v>
      </c>
      <c r="G416">
        <v>33.799999999999997</v>
      </c>
      <c r="H416">
        <v>204.1</v>
      </c>
      <c r="I416" t="s">
        <v>16</v>
      </c>
      <c r="J416">
        <v>1435</v>
      </c>
      <c r="K416">
        <v>4</v>
      </c>
    </row>
    <row r="417" spans="1:11">
      <c r="A417" t="s">
        <v>464</v>
      </c>
      <c r="B417" t="s">
        <v>31</v>
      </c>
      <c r="C417" t="s">
        <v>58</v>
      </c>
      <c r="D417" t="s">
        <v>38</v>
      </c>
      <c r="E417" s="1">
        <v>45041</v>
      </c>
      <c r="F417" s="1">
        <v>45047</v>
      </c>
      <c r="G417">
        <v>331.7</v>
      </c>
      <c r="H417">
        <v>242.34</v>
      </c>
      <c r="I417" t="s">
        <v>16</v>
      </c>
      <c r="J417">
        <v>1727</v>
      </c>
      <c r="K417">
        <v>6</v>
      </c>
    </row>
    <row r="418" spans="1:11">
      <c r="A418" t="s">
        <v>465</v>
      </c>
      <c r="B418" t="s">
        <v>40</v>
      </c>
      <c r="C418" t="s">
        <v>45</v>
      </c>
      <c r="D418" t="s">
        <v>19</v>
      </c>
      <c r="E418" s="1">
        <v>45191</v>
      </c>
      <c r="F418" s="1">
        <v>45195</v>
      </c>
      <c r="G418">
        <v>9.5</v>
      </c>
      <c r="H418">
        <v>271.58999999999997</v>
      </c>
      <c r="I418" t="s">
        <v>16</v>
      </c>
      <c r="J418">
        <v>2007</v>
      </c>
      <c r="K418">
        <v>4</v>
      </c>
    </row>
    <row r="419" spans="1:11">
      <c r="A419" t="s">
        <v>466</v>
      </c>
      <c r="B419" t="s">
        <v>52</v>
      </c>
      <c r="C419" t="s">
        <v>29</v>
      </c>
      <c r="D419" t="s">
        <v>43</v>
      </c>
      <c r="E419" s="1">
        <v>45083</v>
      </c>
      <c r="F419" s="1">
        <v>45091</v>
      </c>
      <c r="G419">
        <v>21.6</v>
      </c>
      <c r="H419">
        <v>221.42</v>
      </c>
      <c r="I419" t="s">
        <v>48</v>
      </c>
      <c r="J419">
        <v>1619</v>
      </c>
      <c r="K419">
        <v>4</v>
      </c>
    </row>
    <row r="420" spans="1:11">
      <c r="A420" t="s">
        <v>467</v>
      </c>
      <c r="B420" t="s">
        <v>31</v>
      </c>
      <c r="C420" t="s">
        <v>45</v>
      </c>
      <c r="D420" t="s">
        <v>19</v>
      </c>
      <c r="E420" s="1">
        <v>44944</v>
      </c>
      <c r="F420" s="1">
        <v>44951</v>
      </c>
      <c r="G420">
        <v>10</v>
      </c>
      <c r="H420">
        <v>360.44</v>
      </c>
      <c r="I420" t="s">
        <v>16</v>
      </c>
      <c r="J420">
        <v>2344</v>
      </c>
      <c r="K420">
        <v>7</v>
      </c>
    </row>
    <row r="421" spans="1:11">
      <c r="A421" t="s">
        <v>468</v>
      </c>
      <c r="B421" t="s">
        <v>13</v>
      </c>
      <c r="C421" t="s">
        <v>29</v>
      </c>
      <c r="D421" t="s">
        <v>26</v>
      </c>
      <c r="E421" s="1">
        <v>45264</v>
      </c>
      <c r="F421" s="1">
        <v>45234</v>
      </c>
      <c r="G421">
        <v>7.8</v>
      </c>
      <c r="H421">
        <v>330.04</v>
      </c>
      <c r="I421" t="s">
        <v>16</v>
      </c>
      <c r="J421">
        <v>2242</v>
      </c>
      <c r="K421">
        <v>5</v>
      </c>
    </row>
    <row r="422" spans="1:11">
      <c r="A422" t="s">
        <v>469</v>
      </c>
      <c r="B422" t="s">
        <v>13</v>
      </c>
      <c r="C422" t="s">
        <v>22</v>
      </c>
      <c r="D422" t="s">
        <v>26</v>
      </c>
      <c r="E422" s="1">
        <v>45166</v>
      </c>
      <c r="F422" s="1">
        <v>45170</v>
      </c>
      <c r="G422">
        <v>26.8</v>
      </c>
      <c r="H422">
        <v>190.03</v>
      </c>
      <c r="I422" t="s">
        <v>63</v>
      </c>
      <c r="J422">
        <v>1346</v>
      </c>
      <c r="K422">
        <v>4</v>
      </c>
    </row>
    <row r="423" spans="1:11">
      <c r="A423" t="s">
        <v>470</v>
      </c>
      <c r="B423" t="s">
        <v>52</v>
      </c>
      <c r="C423" t="s">
        <v>55</v>
      </c>
      <c r="D423" t="s">
        <v>15</v>
      </c>
      <c r="E423" s="1">
        <v>45002</v>
      </c>
      <c r="F423" s="1">
        <v>45003</v>
      </c>
      <c r="G423">
        <v>36.299999999999997</v>
      </c>
      <c r="H423">
        <v>77.48</v>
      </c>
      <c r="I423" t="s">
        <v>16</v>
      </c>
      <c r="J423">
        <v>283</v>
      </c>
      <c r="K423">
        <v>1</v>
      </c>
    </row>
    <row r="424" spans="1:11">
      <c r="A424" t="s">
        <v>471</v>
      </c>
      <c r="B424" t="s">
        <v>57</v>
      </c>
      <c r="C424" t="s">
        <v>71</v>
      </c>
      <c r="D424" t="s">
        <v>43</v>
      </c>
      <c r="E424" s="1">
        <v>45066</v>
      </c>
      <c r="F424" s="1">
        <v>45070</v>
      </c>
      <c r="G424">
        <v>7.1</v>
      </c>
      <c r="H424">
        <v>26.87</v>
      </c>
      <c r="I424" t="s">
        <v>63</v>
      </c>
      <c r="J424">
        <v>164</v>
      </c>
      <c r="K424">
        <v>4</v>
      </c>
    </row>
    <row r="425" spans="1:11">
      <c r="A425" t="s">
        <v>472</v>
      </c>
      <c r="B425" t="s">
        <v>28</v>
      </c>
      <c r="C425" t="s">
        <v>47</v>
      </c>
      <c r="D425" t="s">
        <v>38</v>
      </c>
      <c r="E425" s="1">
        <v>44930</v>
      </c>
      <c r="F425" s="1">
        <v>44937</v>
      </c>
      <c r="G425">
        <v>14.6</v>
      </c>
      <c r="H425">
        <v>188.17</v>
      </c>
      <c r="I425" t="s">
        <v>16</v>
      </c>
      <c r="J425">
        <v>1324</v>
      </c>
      <c r="K425">
        <v>7</v>
      </c>
    </row>
    <row r="426" spans="1:11">
      <c r="A426" t="s">
        <v>473</v>
      </c>
      <c r="B426" t="s">
        <v>13</v>
      </c>
      <c r="C426" t="s">
        <v>58</v>
      </c>
      <c r="D426" t="s">
        <v>33</v>
      </c>
      <c r="E426" s="1">
        <v>45269</v>
      </c>
      <c r="F426" s="1">
        <v>45274</v>
      </c>
      <c r="G426">
        <v>8.8000000000000007</v>
      </c>
      <c r="H426">
        <v>157.81</v>
      </c>
      <c r="I426" t="s">
        <v>48</v>
      </c>
      <c r="J426">
        <v>849</v>
      </c>
      <c r="K426">
        <v>2</v>
      </c>
    </row>
    <row r="427" spans="1:11">
      <c r="A427" t="s">
        <v>474</v>
      </c>
      <c r="B427" t="s">
        <v>31</v>
      </c>
      <c r="C427" t="s">
        <v>82</v>
      </c>
      <c r="D427" t="s">
        <v>43</v>
      </c>
      <c r="E427" s="1">
        <v>45142</v>
      </c>
      <c r="F427" s="1">
        <v>45143</v>
      </c>
      <c r="G427">
        <v>5.9</v>
      </c>
      <c r="H427">
        <v>30.32</v>
      </c>
      <c r="I427" t="s">
        <v>16</v>
      </c>
      <c r="J427">
        <v>212</v>
      </c>
      <c r="K427">
        <v>1</v>
      </c>
    </row>
    <row r="428" spans="1:11">
      <c r="A428" t="s">
        <v>475</v>
      </c>
      <c r="B428" t="s">
        <v>50</v>
      </c>
      <c r="C428" t="s">
        <v>82</v>
      </c>
      <c r="D428" t="s">
        <v>33</v>
      </c>
      <c r="E428" s="1">
        <v>44978</v>
      </c>
      <c r="F428" s="1">
        <v>44984</v>
      </c>
      <c r="G428">
        <v>11.1</v>
      </c>
      <c r="H428">
        <v>139.41999999999999</v>
      </c>
      <c r="I428" t="s">
        <v>16</v>
      </c>
      <c r="J428">
        <v>1035</v>
      </c>
      <c r="K428">
        <v>6</v>
      </c>
    </row>
    <row r="429" spans="1:11">
      <c r="A429" t="s">
        <v>476</v>
      </c>
      <c r="B429" t="s">
        <v>21</v>
      </c>
      <c r="C429" t="s">
        <v>53</v>
      </c>
      <c r="D429" t="s">
        <v>60</v>
      </c>
      <c r="E429" s="1">
        <v>45090</v>
      </c>
      <c r="F429" s="1">
        <v>45091</v>
      </c>
      <c r="G429">
        <v>1062.2</v>
      </c>
      <c r="H429">
        <v>51.54</v>
      </c>
      <c r="I429" t="s">
        <v>16</v>
      </c>
      <c r="J429">
        <v>373</v>
      </c>
      <c r="K429">
        <v>1</v>
      </c>
    </row>
    <row r="430" spans="1:11">
      <c r="A430" t="s">
        <v>477</v>
      </c>
      <c r="B430" t="s">
        <v>31</v>
      </c>
      <c r="C430" t="s">
        <v>18</v>
      </c>
      <c r="D430" t="s">
        <v>60</v>
      </c>
      <c r="E430" s="1">
        <v>45185</v>
      </c>
      <c r="F430" s="1">
        <v>45188</v>
      </c>
      <c r="G430">
        <v>58.9</v>
      </c>
      <c r="H430">
        <v>136.22</v>
      </c>
      <c r="I430" t="s">
        <v>16</v>
      </c>
      <c r="J430">
        <v>569</v>
      </c>
      <c r="K430">
        <v>3</v>
      </c>
    </row>
    <row r="431" spans="1:11">
      <c r="A431" t="s">
        <v>478</v>
      </c>
      <c r="B431" t="s">
        <v>52</v>
      </c>
      <c r="C431" t="s">
        <v>41</v>
      </c>
      <c r="D431" t="s">
        <v>26</v>
      </c>
      <c r="E431" s="1">
        <v>45159</v>
      </c>
      <c r="F431" s="1">
        <v>45168</v>
      </c>
      <c r="G431">
        <v>36.6</v>
      </c>
      <c r="H431">
        <v>311.83999999999997</v>
      </c>
      <c r="I431" t="s">
        <v>63</v>
      </c>
      <c r="J431">
        <v>2250</v>
      </c>
      <c r="K431">
        <v>9</v>
      </c>
    </row>
    <row r="432" spans="1:11">
      <c r="A432" t="s">
        <v>479</v>
      </c>
      <c r="B432" t="s">
        <v>57</v>
      </c>
      <c r="C432" t="s">
        <v>25</v>
      </c>
      <c r="D432" t="s">
        <v>26</v>
      </c>
      <c r="E432" s="1">
        <v>45039</v>
      </c>
      <c r="F432" s="1">
        <v>45044</v>
      </c>
      <c r="G432">
        <v>23</v>
      </c>
      <c r="H432">
        <v>166.87</v>
      </c>
      <c r="I432" t="s">
        <v>16</v>
      </c>
      <c r="J432">
        <v>1171</v>
      </c>
      <c r="K432">
        <v>5</v>
      </c>
    </row>
    <row r="433" spans="1:11">
      <c r="A433" t="s">
        <v>480</v>
      </c>
      <c r="B433" t="s">
        <v>40</v>
      </c>
      <c r="C433" t="s">
        <v>32</v>
      </c>
      <c r="D433" t="s">
        <v>19</v>
      </c>
      <c r="E433" s="1">
        <v>44966</v>
      </c>
      <c r="F433" s="1">
        <v>44969</v>
      </c>
      <c r="G433">
        <v>23</v>
      </c>
      <c r="H433">
        <v>94.01</v>
      </c>
      <c r="I433" t="s">
        <v>16</v>
      </c>
      <c r="J433">
        <v>462</v>
      </c>
      <c r="K433">
        <v>3</v>
      </c>
    </row>
    <row r="434" spans="1:11">
      <c r="A434" t="s">
        <v>481</v>
      </c>
      <c r="B434" t="s">
        <v>40</v>
      </c>
      <c r="C434" t="s">
        <v>14</v>
      </c>
      <c r="D434" t="s">
        <v>33</v>
      </c>
      <c r="E434" s="1">
        <v>45054</v>
      </c>
      <c r="F434" s="1">
        <v>45058</v>
      </c>
      <c r="G434">
        <v>18.5</v>
      </c>
      <c r="H434">
        <v>232.87</v>
      </c>
      <c r="I434" t="s">
        <v>16</v>
      </c>
      <c r="J434">
        <v>1761</v>
      </c>
      <c r="K434">
        <v>4</v>
      </c>
    </row>
    <row r="435" spans="1:11">
      <c r="A435" t="s">
        <v>482</v>
      </c>
      <c r="B435" t="s">
        <v>40</v>
      </c>
      <c r="C435" t="s">
        <v>58</v>
      </c>
      <c r="D435" t="s">
        <v>19</v>
      </c>
      <c r="E435" s="1">
        <v>44957</v>
      </c>
      <c r="F435" s="1">
        <v>44959</v>
      </c>
      <c r="G435">
        <v>16.8</v>
      </c>
      <c r="H435">
        <v>118.63</v>
      </c>
      <c r="I435" t="s">
        <v>16</v>
      </c>
      <c r="J435">
        <v>658</v>
      </c>
      <c r="K435">
        <v>2</v>
      </c>
    </row>
    <row r="436" spans="1:11">
      <c r="A436" t="s">
        <v>483</v>
      </c>
      <c r="B436" t="s">
        <v>40</v>
      </c>
      <c r="C436" t="s">
        <v>53</v>
      </c>
      <c r="D436" t="s">
        <v>19</v>
      </c>
      <c r="E436" s="1">
        <v>45219</v>
      </c>
      <c r="F436" s="1">
        <v>45222</v>
      </c>
      <c r="G436">
        <v>14.2</v>
      </c>
      <c r="H436">
        <v>161.26</v>
      </c>
      <c r="I436" t="s">
        <v>16</v>
      </c>
      <c r="J436">
        <v>978</v>
      </c>
      <c r="K436">
        <v>3</v>
      </c>
    </row>
    <row r="437" spans="1:11">
      <c r="A437" t="s">
        <v>484</v>
      </c>
      <c r="B437" t="s">
        <v>36</v>
      </c>
      <c r="C437" t="s">
        <v>53</v>
      </c>
      <c r="D437" t="s">
        <v>19</v>
      </c>
      <c r="E437" s="1">
        <v>44948</v>
      </c>
      <c r="F437" s="1">
        <v>44951</v>
      </c>
      <c r="G437">
        <v>45.1</v>
      </c>
      <c r="H437">
        <v>238.38</v>
      </c>
      <c r="I437" t="s">
        <v>16</v>
      </c>
      <c r="J437">
        <v>1349</v>
      </c>
      <c r="K437">
        <v>3</v>
      </c>
    </row>
    <row r="438" spans="1:11">
      <c r="A438" t="s">
        <v>485</v>
      </c>
      <c r="B438" t="s">
        <v>31</v>
      </c>
      <c r="C438" t="s">
        <v>22</v>
      </c>
      <c r="D438" t="s">
        <v>38</v>
      </c>
      <c r="E438" s="1">
        <v>45014</v>
      </c>
      <c r="F438" s="1">
        <v>45015</v>
      </c>
      <c r="G438">
        <v>19</v>
      </c>
      <c r="H438">
        <v>77.14</v>
      </c>
      <c r="I438" t="s">
        <v>16</v>
      </c>
      <c r="J438">
        <v>483</v>
      </c>
      <c r="K438">
        <v>1</v>
      </c>
    </row>
    <row r="439" spans="1:11">
      <c r="A439" t="s">
        <v>486</v>
      </c>
      <c r="B439" t="s">
        <v>57</v>
      </c>
      <c r="C439" t="s">
        <v>22</v>
      </c>
      <c r="D439" t="s">
        <v>33</v>
      </c>
      <c r="E439" s="1">
        <v>45030</v>
      </c>
      <c r="F439" s="1">
        <v>45037</v>
      </c>
      <c r="G439">
        <v>9.9</v>
      </c>
      <c r="H439">
        <v>256.92</v>
      </c>
      <c r="I439" t="s">
        <v>16</v>
      </c>
      <c r="J439">
        <v>1707</v>
      </c>
      <c r="K439">
        <v>7</v>
      </c>
    </row>
    <row r="440" spans="1:11">
      <c r="A440" t="s">
        <v>487</v>
      </c>
      <c r="B440" t="s">
        <v>31</v>
      </c>
      <c r="C440" t="s">
        <v>29</v>
      </c>
      <c r="D440" t="s">
        <v>60</v>
      </c>
      <c r="E440" s="1">
        <v>45194</v>
      </c>
      <c r="F440" s="1">
        <v>45199</v>
      </c>
      <c r="G440">
        <v>46.2</v>
      </c>
      <c r="H440">
        <v>329.57</v>
      </c>
      <c r="I440" t="s">
        <v>16</v>
      </c>
      <c r="J440">
        <v>2333</v>
      </c>
      <c r="K440">
        <v>5</v>
      </c>
    </row>
    <row r="441" spans="1:11">
      <c r="A441" t="s">
        <v>488</v>
      </c>
      <c r="B441" t="s">
        <v>52</v>
      </c>
      <c r="C441" t="s">
        <v>45</v>
      </c>
      <c r="D441" t="s">
        <v>43</v>
      </c>
      <c r="E441" s="1">
        <v>45264</v>
      </c>
      <c r="F441" s="1">
        <v>45266</v>
      </c>
      <c r="G441">
        <v>10.199999999999999</v>
      </c>
      <c r="H441">
        <v>120.04</v>
      </c>
      <c r="I441" t="s">
        <v>16</v>
      </c>
      <c r="J441">
        <v>790</v>
      </c>
      <c r="K441">
        <v>2</v>
      </c>
    </row>
    <row r="442" spans="1:11">
      <c r="A442" t="s">
        <v>489</v>
      </c>
      <c r="B442" t="s">
        <v>36</v>
      </c>
      <c r="C442" t="s">
        <v>14</v>
      </c>
      <c r="D442" t="s">
        <v>19</v>
      </c>
      <c r="E442" s="1">
        <v>45019</v>
      </c>
      <c r="F442" s="1">
        <v>45027</v>
      </c>
      <c r="G442">
        <v>5.2</v>
      </c>
      <c r="H442">
        <v>216.66</v>
      </c>
      <c r="I442" t="s">
        <v>16</v>
      </c>
      <c r="J442">
        <v>1605</v>
      </c>
      <c r="K442">
        <v>8</v>
      </c>
    </row>
    <row r="443" spans="1:11">
      <c r="A443" t="s">
        <v>490</v>
      </c>
      <c r="B443" t="s">
        <v>28</v>
      </c>
      <c r="C443" t="s">
        <v>25</v>
      </c>
      <c r="D443" t="s">
        <v>15</v>
      </c>
      <c r="E443" s="1">
        <v>45231</v>
      </c>
      <c r="F443" s="1">
        <v>45235</v>
      </c>
      <c r="G443">
        <v>26</v>
      </c>
      <c r="H443">
        <v>183.17</v>
      </c>
      <c r="I443" t="s">
        <v>16</v>
      </c>
      <c r="J443">
        <v>1019</v>
      </c>
      <c r="K443">
        <v>4</v>
      </c>
    </row>
    <row r="444" spans="1:11">
      <c r="A444" t="s">
        <v>491</v>
      </c>
      <c r="B444" t="s">
        <v>52</v>
      </c>
      <c r="C444" t="s">
        <v>14</v>
      </c>
      <c r="D444" t="s">
        <v>60</v>
      </c>
      <c r="E444" s="1">
        <v>45185</v>
      </c>
      <c r="F444" s="1">
        <v>45189</v>
      </c>
      <c r="G444">
        <v>13.2</v>
      </c>
      <c r="H444">
        <v>256.52999999999997</v>
      </c>
      <c r="I444" t="s">
        <v>16</v>
      </c>
      <c r="J444">
        <v>1945</v>
      </c>
      <c r="K444">
        <v>4</v>
      </c>
    </row>
    <row r="445" spans="1:11">
      <c r="A445" t="s">
        <v>492</v>
      </c>
      <c r="B445" t="s">
        <v>40</v>
      </c>
      <c r="C445" t="s">
        <v>53</v>
      </c>
      <c r="D445" t="s">
        <v>38</v>
      </c>
      <c r="E445" s="1">
        <v>45017</v>
      </c>
      <c r="F445" s="1">
        <v>45019</v>
      </c>
      <c r="G445">
        <v>55.5</v>
      </c>
      <c r="H445">
        <v>169.22</v>
      </c>
      <c r="I445" t="s">
        <v>16</v>
      </c>
      <c r="J445">
        <v>804</v>
      </c>
      <c r="K445">
        <v>2</v>
      </c>
    </row>
    <row r="446" spans="1:11">
      <c r="A446" t="s">
        <v>493</v>
      </c>
      <c r="B446" t="s">
        <v>21</v>
      </c>
      <c r="C446" t="s">
        <v>29</v>
      </c>
      <c r="D446" t="s">
        <v>38</v>
      </c>
      <c r="E446" s="1">
        <v>45186</v>
      </c>
      <c r="F446" s="1">
        <v>45192</v>
      </c>
      <c r="G446">
        <v>23.9</v>
      </c>
      <c r="H446">
        <v>188.32</v>
      </c>
      <c r="I446" t="s">
        <v>16</v>
      </c>
      <c r="J446">
        <v>1435</v>
      </c>
      <c r="K446">
        <v>6</v>
      </c>
    </row>
    <row r="447" spans="1:11">
      <c r="A447" t="s">
        <v>494</v>
      </c>
      <c r="B447" t="s">
        <v>40</v>
      </c>
      <c r="C447" t="s">
        <v>53</v>
      </c>
      <c r="D447" t="s">
        <v>38</v>
      </c>
      <c r="E447" s="1">
        <v>45026</v>
      </c>
      <c r="F447" s="1">
        <v>45029</v>
      </c>
      <c r="G447">
        <v>31.6</v>
      </c>
      <c r="H447">
        <v>152.35</v>
      </c>
      <c r="I447" t="s">
        <v>63</v>
      </c>
      <c r="J447">
        <v>1081</v>
      </c>
      <c r="K447">
        <v>3</v>
      </c>
    </row>
    <row r="448" spans="1:11">
      <c r="A448" t="s">
        <v>495</v>
      </c>
      <c r="B448" t="s">
        <v>50</v>
      </c>
      <c r="C448" t="s">
        <v>25</v>
      </c>
      <c r="D448" t="s">
        <v>33</v>
      </c>
      <c r="E448" s="1">
        <v>45259</v>
      </c>
      <c r="F448" s="1">
        <v>45265</v>
      </c>
      <c r="G448">
        <v>34</v>
      </c>
      <c r="H448">
        <v>234.67</v>
      </c>
      <c r="I448" t="s">
        <v>16</v>
      </c>
      <c r="J448">
        <v>1211</v>
      </c>
      <c r="K448">
        <v>6</v>
      </c>
    </row>
    <row r="449" spans="1:11">
      <c r="A449" t="s">
        <v>496</v>
      </c>
      <c r="B449" t="s">
        <v>40</v>
      </c>
      <c r="C449" t="s">
        <v>71</v>
      </c>
      <c r="D449" t="s">
        <v>19</v>
      </c>
      <c r="E449" s="1">
        <v>45135</v>
      </c>
      <c r="G449">
        <v>29.3</v>
      </c>
      <c r="H449">
        <v>171.21</v>
      </c>
      <c r="I449" t="s">
        <v>16</v>
      </c>
      <c r="J449">
        <v>916</v>
      </c>
      <c r="K449">
        <v>4</v>
      </c>
    </row>
    <row r="450" spans="1:11">
      <c r="A450" t="s">
        <v>497</v>
      </c>
      <c r="B450" t="s">
        <v>24</v>
      </c>
      <c r="C450" t="s">
        <v>45</v>
      </c>
      <c r="D450" t="s">
        <v>60</v>
      </c>
      <c r="E450" s="1">
        <v>45030</v>
      </c>
      <c r="F450" s="1">
        <v>45034</v>
      </c>
      <c r="G450">
        <v>87.5</v>
      </c>
      <c r="H450">
        <v>322.08999999999997</v>
      </c>
      <c r="I450" t="s">
        <v>16</v>
      </c>
      <c r="J450">
        <v>1941</v>
      </c>
      <c r="K450">
        <v>4</v>
      </c>
    </row>
    <row r="451" spans="1:11">
      <c r="A451" t="s">
        <v>498</v>
      </c>
      <c r="B451" t="s">
        <v>36</v>
      </c>
      <c r="C451" t="s">
        <v>22</v>
      </c>
      <c r="D451" t="s">
        <v>26</v>
      </c>
      <c r="E451" s="1">
        <v>45198</v>
      </c>
      <c r="F451" s="1">
        <v>45203</v>
      </c>
      <c r="G451">
        <v>6.6</v>
      </c>
      <c r="H451">
        <v>211.32</v>
      </c>
      <c r="I451" t="s">
        <v>16</v>
      </c>
      <c r="J451">
        <v>1560</v>
      </c>
      <c r="K451">
        <v>5</v>
      </c>
    </row>
    <row r="452" spans="1:11">
      <c r="A452" t="s">
        <v>499</v>
      </c>
      <c r="B452" t="s">
        <v>24</v>
      </c>
      <c r="C452" t="s">
        <v>45</v>
      </c>
      <c r="D452" t="s">
        <v>19</v>
      </c>
      <c r="E452" s="1">
        <v>45183</v>
      </c>
      <c r="F452" s="1">
        <v>45188</v>
      </c>
      <c r="G452">
        <v>14.2</v>
      </c>
      <c r="H452">
        <v>279.38</v>
      </c>
      <c r="I452" t="s">
        <v>16</v>
      </c>
      <c r="J452">
        <v>1843</v>
      </c>
      <c r="K452">
        <v>5</v>
      </c>
    </row>
    <row r="453" spans="1:11">
      <c r="A453" t="s">
        <v>500</v>
      </c>
      <c r="B453" t="s">
        <v>50</v>
      </c>
      <c r="C453" t="s">
        <v>25</v>
      </c>
      <c r="D453" t="s">
        <v>26</v>
      </c>
      <c r="E453" s="1">
        <v>44991</v>
      </c>
      <c r="F453" s="1">
        <v>44999</v>
      </c>
      <c r="G453">
        <v>8.3000000000000007</v>
      </c>
      <c r="H453">
        <v>274.13</v>
      </c>
      <c r="I453" t="s">
        <v>16</v>
      </c>
      <c r="J453">
        <v>2418</v>
      </c>
      <c r="K453">
        <v>8</v>
      </c>
    </row>
    <row r="454" spans="1:11">
      <c r="A454" t="s">
        <v>501</v>
      </c>
      <c r="B454" t="s">
        <v>24</v>
      </c>
      <c r="C454" t="s">
        <v>14</v>
      </c>
      <c r="D454" t="s">
        <v>43</v>
      </c>
      <c r="E454" s="1">
        <v>44930</v>
      </c>
      <c r="F454" s="1">
        <v>44947</v>
      </c>
      <c r="G454">
        <v>18</v>
      </c>
      <c r="H454">
        <v>271.68</v>
      </c>
      <c r="I454" t="s">
        <v>48</v>
      </c>
      <c r="J454">
        <v>2067</v>
      </c>
      <c r="K454">
        <v>5</v>
      </c>
    </row>
    <row r="455" spans="1:11">
      <c r="A455" t="s">
        <v>502</v>
      </c>
      <c r="B455" t="s">
        <v>52</v>
      </c>
      <c r="C455" t="s">
        <v>37</v>
      </c>
      <c r="D455" t="s">
        <v>26</v>
      </c>
      <c r="E455" s="1">
        <v>44947</v>
      </c>
      <c r="F455" s="1">
        <v>44949</v>
      </c>
      <c r="G455">
        <v>45</v>
      </c>
      <c r="H455">
        <v>124.14</v>
      </c>
      <c r="I455" t="s">
        <v>16</v>
      </c>
      <c r="J455">
        <v>568</v>
      </c>
      <c r="K455">
        <v>2</v>
      </c>
    </row>
    <row r="456" spans="1:11">
      <c r="A456" t="s">
        <v>503</v>
      </c>
      <c r="B456" t="s">
        <v>52</v>
      </c>
      <c r="C456" t="s">
        <v>14</v>
      </c>
      <c r="D456" t="s">
        <v>33</v>
      </c>
      <c r="E456" s="1">
        <v>45086</v>
      </c>
      <c r="F456" s="1">
        <v>45092</v>
      </c>
      <c r="G456">
        <v>8.1</v>
      </c>
      <c r="H456">
        <v>119.16</v>
      </c>
      <c r="I456" t="s">
        <v>16</v>
      </c>
      <c r="J456">
        <v>906</v>
      </c>
      <c r="K456">
        <v>6</v>
      </c>
    </row>
    <row r="457" spans="1:11">
      <c r="A457" t="s">
        <v>504</v>
      </c>
      <c r="B457" t="s">
        <v>50</v>
      </c>
      <c r="C457" t="s">
        <v>22</v>
      </c>
      <c r="D457" t="s">
        <v>60</v>
      </c>
      <c r="E457" s="1">
        <v>44944</v>
      </c>
      <c r="F457" s="1">
        <v>44949</v>
      </c>
      <c r="G457">
        <v>16.3</v>
      </c>
      <c r="H457">
        <v>87.95</v>
      </c>
      <c r="I457" t="s">
        <v>16</v>
      </c>
      <c r="J457">
        <v>642</v>
      </c>
      <c r="K457">
        <v>5</v>
      </c>
    </row>
    <row r="458" spans="1:11">
      <c r="A458" t="s">
        <v>505</v>
      </c>
      <c r="B458" t="s">
        <v>36</v>
      </c>
      <c r="C458" t="s">
        <v>22</v>
      </c>
      <c r="D458" t="s">
        <v>60</v>
      </c>
      <c r="E458" s="1">
        <v>45233</v>
      </c>
      <c r="F458" s="1">
        <v>45238</v>
      </c>
      <c r="G458">
        <v>10.9</v>
      </c>
      <c r="H458">
        <v>281.08</v>
      </c>
      <c r="I458" t="s">
        <v>16</v>
      </c>
      <c r="J458">
        <v>1954</v>
      </c>
      <c r="K458">
        <v>5</v>
      </c>
    </row>
    <row r="459" spans="1:11">
      <c r="A459" t="s">
        <v>506</v>
      </c>
      <c r="B459" t="s">
        <v>13</v>
      </c>
      <c r="C459" t="s">
        <v>47</v>
      </c>
      <c r="D459" t="s">
        <v>33</v>
      </c>
      <c r="E459" s="1">
        <v>45000</v>
      </c>
      <c r="F459" s="1">
        <v>45006</v>
      </c>
      <c r="G459">
        <v>6</v>
      </c>
      <c r="H459">
        <v>311.67</v>
      </c>
      <c r="I459" t="s">
        <v>16</v>
      </c>
      <c r="J459">
        <v>2192</v>
      </c>
      <c r="K459">
        <v>6</v>
      </c>
    </row>
    <row r="460" spans="1:11">
      <c r="A460" t="s">
        <v>507</v>
      </c>
      <c r="B460" t="s">
        <v>28</v>
      </c>
      <c r="C460" t="s">
        <v>82</v>
      </c>
      <c r="D460" t="s">
        <v>15</v>
      </c>
      <c r="E460" s="1">
        <v>45184</v>
      </c>
      <c r="F460" s="1">
        <v>45187</v>
      </c>
      <c r="G460">
        <v>33.6</v>
      </c>
      <c r="H460">
        <v>195.61</v>
      </c>
      <c r="I460" t="s">
        <v>16</v>
      </c>
      <c r="J460">
        <v>1113</v>
      </c>
      <c r="K460">
        <v>3</v>
      </c>
    </row>
    <row r="461" spans="1:11">
      <c r="A461" t="s">
        <v>508</v>
      </c>
      <c r="B461" t="s">
        <v>28</v>
      </c>
      <c r="C461" t="s">
        <v>41</v>
      </c>
      <c r="D461" t="s">
        <v>19</v>
      </c>
      <c r="E461" s="1">
        <v>44974</v>
      </c>
      <c r="F461" s="1">
        <v>44982</v>
      </c>
      <c r="G461">
        <v>11.8</v>
      </c>
      <c r="H461">
        <v>283.33999999999997</v>
      </c>
      <c r="I461" t="s">
        <v>16</v>
      </c>
      <c r="J461">
        <v>1837</v>
      </c>
      <c r="K461">
        <v>8</v>
      </c>
    </row>
    <row r="462" spans="1:11">
      <c r="A462" t="s">
        <v>509</v>
      </c>
      <c r="B462" t="s">
        <v>28</v>
      </c>
      <c r="C462" t="s">
        <v>32</v>
      </c>
      <c r="D462" t="s">
        <v>60</v>
      </c>
      <c r="E462" s="1">
        <v>45187</v>
      </c>
      <c r="F462" s="1">
        <v>45188</v>
      </c>
      <c r="G462">
        <v>68.900000000000006</v>
      </c>
      <c r="I462" t="s">
        <v>16</v>
      </c>
      <c r="J462">
        <v>447</v>
      </c>
      <c r="K462">
        <v>1</v>
      </c>
    </row>
    <row r="463" spans="1:11">
      <c r="A463" t="s">
        <v>510</v>
      </c>
      <c r="B463" t="s">
        <v>21</v>
      </c>
      <c r="C463" t="s">
        <v>58</v>
      </c>
      <c r="D463" t="s">
        <v>33</v>
      </c>
      <c r="E463" s="1">
        <v>45154</v>
      </c>
      <c r="F463" s="1">
        <v>45155</v>
      </c>
      <c r="G463">
        <v>21.4</v>
      </c>
      <c r="H463">
        <v>49.49</v>
      </c>
      <c r="I463" t="s">
        <v>16</v>
      </c>
      <c r="J463">
        <v>162</v>
      </c>
      <c r="K463">
        <v>1</v>
      </c>
    </row>
    <row r="464" spans="1:11">
      <c r="A464" t="s">
        <v>511</v>
      </c>
      <c r="B464" t="s">
        <v>50</v>
      </c>
      <c r="C464" t="s">
        <v>58</v>
      </c>
      <c r="D464" t="s">
        <v>60</v>
      </c>
      <c r="E464" s="1">
        <v>44984</v>
      </c>
      <c r="F464" s="1">
        <v>44990</v>
      </c>
      <c r="G464">
        <v>31.3</v>
      </c>
      <c r="H464">
        <v>308.27999999999997</v>
      </c>
      <c r="I464" t="s">
        <v>16</v>
      </c>
      <c r="J464">
        <v>2454</v>
      </c>
      <c r="K464">
        <v>6</v>
      </c>
    </row>
    <row r="465" spans="1:11">
      <c r="A465" t="s">
        <v>512</v>
      </c>
      <c r="B465" t="s">
        <v>40</v>
      </c>
      <c r="C465" t="s">
        <v>29</v>
      </c>
      <c r="D465" t="s">
        <v>43</v>
      </c>
      <c r="E465" s="1">
        <v>45224</v>
      </c>
      <c r="F465" s="1">
        <v>45226</v>
      </c>
      <c r="G465">
        <v>38.9</v>
      </c>
      <c r="H465">
        <v>114.76</v>
      </c>
      <c r="I465" t="s">
        <v>16</v>
      </c>
      <c r="J465">
        <v>603</v>
      </c>
      <c r="K465">
        <v>2</v>
      </c>
    </row>
    <row r="466" spans="1:11">
      <c r="A466" t="s">
        <v>513</v>
      </c>
      <c r="B466" t="s">
        <v>24</v>
      </c>
      <c r="C466" t="s">
        <v>45</v>
      </c>
      <c r="D466" t="s">
        <v>43</v>
      </c>
      <c r="E466" s="1">
        <v>45269</v>
      </c>
      <c r="F466" s="1">
        <v>45273</v>
      </c>
      <c r="G466">
        <v>29</v>
      </c>
      <c r="H466">
        <v>228.35</v>
      </c>
      <c r="I466" t="s">
        <v>16</v>
      </c>
      <c r="J466">
        <v>1340</v>
      </c>
      <c r="K466">
        <v>4</v>
      </c>
    </row>
    <row r="467" spans="1:11">
      <c r="A467" t="s">
        <v>514</v>
      </c>
      <c r="B467" t="s">
        <v>28</v>
      </c>
      <c r="C467" t="s">
        <v>53</v>
      </c>
      <c r="D467" t="s">
        <v>60</v>
      </c>
      <c r="E467" s="1">
        <v>45123</v>
      </c>
      <c r="F467" s="1">
        <v>45127</v>
      </c>
      <c r="G467">
        <v>39.6</v>
      </c>
      <c r="H467">
        <v>270.85000000000002</v>
      </c>
      <c r="I467" t="s">
        <v>16</v>
      </c>
      <c r="J467">
        <v>1963</v>
      </c>
      <c r="K467">
        <v>4</v>
      </c>
    </row>
    <row r="468" spans="1:11">
      <c r="A468" t="s">
        <v>515</v>
      </c>
      <c r="B468" t="s">
        <v>21</v>
      </c>
      <c r="C468" t="s">
        <v>32</v>
      </c>
      <c r="D468" t="s">
        <v>43</v>
      </c>
      <c r="E468" s="1">
        <v>45049</v>
      </c>
      <c r="F468" s="1">
        <v>45054</v>
      </c>
      <c r="G468">
        <v>11.8</v>
      </c>
      <c r="H468">
        <v>270.13</v>
      </c>
      <c r="I468" t="s">
        <v>16</v>
      </c>
      <c r="J468">
        <v>2254</v>
      </c>
      <c r="K468">
        <v>5</v>
      </c>
    </row>
    <row r="469" spans="1:11">
      <c r="A469" t="s">
        <v>516</v>
      </c>
      <c r="B469" t="s">
        <v>28</v>
      </c>
      <c r="C469" t="s">
        <v>29</v>
      </c>
      <c r="D469" t="s">
        <v>60</v>
      </c>
      <c r="E469" s="1">
        <v>45249</v>
      </c>
      <c r="F469" s="1">
        <v>45252</v>
      </c>
      <c r="G469">
        <v>15.7</v>
      </c>
      <c r="H469">
        <v>121.5</v>
      </c>
      <c r="I469" t="s">
        <v>63</v>
      </c>
      <c r="J469">
        <v>664</v>
      </c>
      <c r="K469">
        <v>3</v>
      </c>
    </row>
    <row r="470" spans="1:11">
      <c r="A470" t="s">
        <v>517</v>
      </c>
      <c r="B470" t="s">
        <v>21</v>
      </c>
      <c r="C470" t="s">
        <v>29</v>
      </c>
      <c r="D470" t="s">
        <v>60</v>
      </c>
      <c r="E470" s="1">
        <v>44976</v>
      </c>
      <c r="F470" s="1">
        <v>44980</v>
      </c>
      <c r="G470">
        <v>45.3</v>
      </c>
      <c r="H470">
        <v>195.45</v>
      </c>
      <c r="I470" t="s">
        <v>16</v>
      </c>
      <c r="J470">
        <v>1435</v>
      </c>
      <c r="K470">
        <v>4</v>
      </c>
    </row>
    <row r="471" spans="1:11">
      <c r="A471" t="s">
        <v>518</v>
      </c>
      <c r="B471" t="s">
        <v>21</v>
      </c>
      <c r="C471" t="s">
        <v>29</v>
      </c>
      <c r="D471" t="s">
        <v>19</v>
      </c>
      <c r="E471" s="1">
        <v>45166</v>
      </c>
      <c r="F471" s="1">
        <v>45172</v>
      </c>
      <c r="G471">
        <v>19.7</v>
      </c>
      <c r="H471">
        <v>244.45</v>
      </c>
      <c r="I471" t="s">
        <v>16</v>
      </c>
      <c r="J471">
        <v>1435</v>
      </c>
      <c r="K471">
        <v>6</v>
      </c>
    </row>
    <row r="472" spans="1:11">
      <c r="A472" t="s">
        <v>519</v>
      </c>
      <c r="B472" t="s">
        <v>36</v>
      </c>
      <c r="C472" t="s">
        <v>22</v>
      </c>
      <c r="D472" t="s">
        <v>15</v>
      </c>
      <c r="E472" s="1">
        <v>45037</v>
      </c>
      <c r="G472">
        <v>8.6999999999999993</v>
      </c>
      <c r="H472">
        <v>35.590000000000003</v>
      </c>
      <c r="I472" t="s">
        <v>48</v>
      </c>
      <c r="J472">
        <v>195</v>
      </c>
      <c r="K472">
        <v>1</v>
      </c>
    </row>
    <row r="473" spans="1:11">
      <c r="A473" t="s">
        <v>520</v>
      </c>
      <c r="B473" t="s">
        <v>13</v>
      </c>
      <c r="C473" t="s">
        <v>71</v>
      </c>
      <c r="D473" t="s">
        <v>43</v>
      </c>
      <c r="E473" s="1">
        <v>45215</v>
      </c>
      <c r="F473" s="1">
        <v>45221</v>
      </c>
      <c r="G473">
        <v>10.5</v>
      </c>
      <c r="H473">
        <v>133.36000000000001</v>
      </c>
      <c r="I473" t="s">
        <v>16</v>
      </c>
      <c r="J473">
        <v>1072</v>
      </c>
      <c r="K473">
        <v>6</v>
      </c>
    </row>
    <row r="474" spans="1:11">
      <c r="A474" t="s">
        <v>521</v>
      </c>
      <c r="B474" t="s">
        <v>40</v>
      </c>
      <c r="C474" t="s">
        <v>82</v>
      </c>
      <c r="D474" t="s">
        <v>19</v>
      </c>
      <c r="E474" s="1">
        <v>45277</v>
      </c>
      <c r="F474" s="1">
        <v>45280</v>
      </c>
      <c r="G474">
        <v>52.6</v>
      </c>
      <c r="H474">
        <v>258.14</v>
      </c>
      <c r="I474" t="s">
        <v>16</v>
      </c>
      <c r="J474">
        <v>1030</v>
      </c>
      <c r="K474">
        <v>3</v>
      </c>
    </row>
    <row r="475" spans="1:11">
      <c r="A475" t="s">
        <v>522</v>
      </c>
      <c r="B475" t="s">
        <v>13</v>
      </c>
      <c r="C475" t="s">
        <v>18</v>
      </c>
      <c r="D475" t="s">
        <v>33</v>
      </c>
      <c r="E475" s="1">
        <v>45081</v>
      </c>
      <c r="F475" s="1">
        <v>45086</v>
      </c>
      <c r="G475">
        <v>27.7</v>
      </c>
      <c r="H475">
        <v>237.6</v>
      </c>
      <c r="I475" t="s">
        <v>16</v>
      </c>
      <c r="J475">
        <v>1363</v>
      </c>
      <c r="K475">
        <v>5</v>
      </c>
    </row>
    <row r="476" spans="1:11">
      <c r="A476" t="s">
        <v>523</v>
      </c>
      <c r="B476" t="s">
        <v>52</v>
      </c>
      <c r="C476" t="s">
        <v>58</v>
      </c>
      <c r="D476" t="s">
        <v>60</v>
      </c>
      <c r="E476" s="1">
        <v>45041</v>
      </c>
      <c r="F476" s="1">
        <v>45043</v>
      </c>
      <c r="G476">
        <v>29.6</v>
      </c>
      <c r="H476">
        <v>84.55</v>
      </c>
      <c r="I476" t="s">
        <v>61</v>
      </c>
      <c r="J476">
        <v>515</v>
      </c>
      <c r="K476">
        <v>2</v>
      </c>
    </row>
    <row r="477" spans="1:11">
      <c r="A477" t="s">
        <v>524</v>
      </c>
      <c r="B477" t="s">
        <v>50</v>
      </c>
      <c r="C477" t="s">
        <v>41</v>
      </c>
      <c r="D477" t="s">
        <v>26</v>
      </c>
      <c r="E477" s="1">
        <v>45172</v>
      </c>
      <c r="F477" s="1">
        <v>45175</v>
      </c>
      <c r="G477">
        <v>10.8</v>
      </c>
      <c r="H477">
        <v>48.75</v>
      </c>
      <c r="I477" t="s">
        <v>16</v>
      </c>
      <c r="J477">
        <v>262</v>
      </c>
      <c r="K477">
        <v>3</v>
      </c>
    </row>
    <row r="478" spans="1:11">
      <c r="A478" t="s">
        <v>525</v>
      </c>
      <c r="B478" t="s">
        <v>50</v>
      </c>
      <c r="C478" t="s">
        <v>32</v>
      </c>
      <c r="D478" t="s">
        <v>38</v>
      </c>
      <c r="E478" s="1">
        <v>44976</v>
      </c>
      <c r="F478" s="1">
        <v>44980</v>
      </c>
      <c r="G478">
        <v>10.6</v>
      </c>
      <c r="H478">
        <v>217.45</v>
      </c>
      <c r="I478" t="s">
        <v>16</v>
      </c>
      <c r="J478">
        <v>1866</v>
      </c>
      <c r="K478">
        <v>4</v>
      </c>
    </row>
    <row r="479" spans="1:11">
      <c r="A479" t="s">
        <v>526</v>
      </c>
      <c r="B479" t="s">
        <v>36</v>
      </c>
      <c r="C479" t="s">
        <v>53</v>
      </c>
      <c r="D479" t="s">
        <v>19</v>
      </c>
      <c r="E479" s="1">
        <v>45280</v>
      </c>
      <c r="F479" s="1">
        <v>45297</v>
      </c>
      <c r="G479">
        <v>17.899999999999999</v>
      </c>
      <c r="H479">
        <v>373.8</v>
      </c>
      <c r="I479" t="s">
        <v>48</v>
      </c>
      <c r="J479">
        <v>1998</v>
      </c>
      <c r="K479">
        <v>5</v>
      </c>
    </row>
    <row r="480" spans="1:11">
      <c r="A480" t="s">
        <v>527</v>
      </c>
      <c r="B480" t="s">
        <v>57</v>
      </c>
      <c r="C480" t="s">
        <v>45</v>
      </c>
      <c r="D480" t="s">
        <v>15</v>
      </c>
      <c r="E480" s="1">
        <v>45123</v>
      </c>
      <c r="F480" s="1">
        <v>45128</v>
      </c>
      <c r="G480">
        <v>14.8</v>
      </c>
      <c r="H480">
        <v>182.07</v>
      </c>
      <c r="I480" t="s">
        <v>16</v>
      </c>
      <c r="J480">
        <v>1304</v>
      </c>
      <c r="K480">
        <v>5</v>
      </c>
    </row>
    <row r="481" spans="1:11">
      <c r="A481" t="s">
        <v>528</v>
      </c>
      <c r="B481" t="s">
        <v>50</v>
      </c>
      <c r="C481" t="s">
        <v>29</v>
      </c>
      <c r="D481" t="s">
        <v>15</v>
      </c>
      <c r="E481" s="1">
        <v>45035</v>
      </c>
      <c r="F481" s="1">
        <v>45037</v>
      </c>
      <c r="G481">
        <v>11.9</v>
      </c>
      <c r="H481">
        <v>41.55</v>
      </c>
      <c r="I481" t="s">
        <v>16</v>
      </c>
      <c r="J481">
        <v>187</v>
      </c>
      <c r="K481">
        <v>2</v>
      </c>
    </row>
    <row r="482" spans="1:11">
      <c r="A482" t="s">
        <v>529</v>
      </c>
      <c r="B482" t="s">
        <v>21</v>
      </c>
      <c r="C482" t="s">
        <v>45</v>
      </c>
      <c r="D482" t="s">
        <v>60</v>
      </c>
      <c r="E482" s="1">
        <v>45016</v>
      </c>
      <c r="F482" s="1">
        <v>45021</v>
      </c>
      <c r="G482">
        <v>26.7</v>
      </c>
      <c r="H482">
        <v>209.87</v>
      </c>
      <c r="I482" t="s">
        <v>16</v>
      </c>
      <c r="J482">
        <v>1486</v>
      </c>
      <c r="K482">
        <v>5</v>
      </c>
    </row>
    <row r="483" spans="1:11">
      <c r="A483" t="s">
        <v>530</v>
      </c>
      <c r="B483" t="s">
        <v>28</v>
      </c>
      <c r="C483" t="s">
        <v>32</v>
      </c>
      <c r="D483" t="s">
        <v>38</v>
      </c>
      <c r="E483" s="1">
        <v>44934</v>
      </c>
      <c r="F483" s="1">
        <v>44938</v>
      </c>
      <c r="G483">
        <v>7.7</v>
      </c>
      <c r="H483">
        <v>170.97</v>
      </c>
      <c r="I483" t="s">
        <v>16</v>
      </c>
      <c r="J483">
        <v>1468</v>
      </c>
      <c r="K483">
        <v>4</v>
      </c>
    </row>
    <row r="484" spans="1:11">
      <c r="A484" t="s">
        <v>531</v>
      </c>
      <c r="B484" t="s">
        <v>36</v>
      </c>
      <c r="C484" t="s">
        <v>25</v>
      </c>
      <c r="D484" t="s">
        <v>38</v>
      </c>
      <c r="E484" s="1">
        <v>45012</v>
      </c>
      <c r="F484" s="1">
        <v>45017</v>
      </c>
      <c r="G484">
        <v>17.8</v>
      </c>
      <c r="H484">
        <v>323.01</v>
      </c>
      <c r="I484" t="s">
        <v>16</v>
      </c>
      <c r="J484">
        <v>2283</v>
      </c>
      <c r="K484">
        <v>5</v>
      </c>
    </row>
    <row r="485" spans="1:11">
      <c r="A485" t="s">
        <v>532</v>
      </c>
      <c r="B485" t="s">
        <v>28</v>
      </c>
      <c r="C485" t="s">
        <v>22</v>
      </c>
      <c r="D485" t="s">
        <v>15</v>
      </c>
      <c r="E485" s="1">
        <v>44945</v>
      </c>
      <c r="F485" s="1">
        <v>44949</v>
      </c>
      <c r="G485">
        <v>57.6</v>
      </c>
      <c r="H485">
        <v>346.17</v>
      </c>
      <c r="I485" t="s">
        <v>16</v>
      </c>
      <c r="J485">
        <v>1950</v>
      </c>
      <c r="K485">
        <v>4</v>
      </c>
    </row>
    <row r="486" spans="1:11">
      <c r="A486" t="s">
        <v>533</v>
      </c>
      <c r="B486" t="s">
        <v>13</v>
      </c>
      <c r="C486" t="s">
        <v>41</v>
      </c>
      <c r="D486" t="s">
        <v>43</v>
      </c>
      <c r="E486" s="1">
        <v>45162</v>
      </c>
      <c r="F486" s="1">
        <v>45171</v>
      </c>
      <c r="G486">
        <v>13.4</v>
      </c>
      <c r="H486">
        <v>31.36</v>
      </c>
      <c r="I486" t="s">
        <v>48</v>
      </c>
      <c r="J486">
        <v>119</v>
      </c>
      <c r="K486">
        <v>2</v>
      </c>
    </row>
    <row r="487" spans="1:11">
      <c r="A487" t="s">
        <v>534</v>
      </c>
      <c r="B487" t="s">
        <v>13</v>
      </c>
      <c r="C487" t="s">
        <v>45</v>
      </c>
      <c r="D487" t="s">
        <v>43</v>
      </c>
      <c r="E487" s="1">
        <v>44992</v>
      </c>
      <c r="F487" s="1">
        <v>44995</v>
      </c>
      <c r="G487">
        <v>11.5</v>
      </c>
      <c r="H487">
        <v>143.87</v>
      </c>
      <c r="I487" t="s">
        <v>16</v>
      </c>
      <c r="J487">
        <v>983</v>
      </c>
      <c r="K487">
        <v>3</v>
      </c>
    </row>
    <row r="488" spans="1:11">
      <c r="A488" t="s">
        <v>535</v>
      </c>
      <c r="B488" t="s">
        <v>57</v>
      </c>
      <c r="C488" t="s">
        <v>71</v>
      </c>
      <c r="D488" t="s">
        <v>60</v>
      </c>
      <c r="E488" s="1">
        <v>44975</v>
      </c>
      <c r="F488" s="1">
        <v>44977</v>
      </c>
      <c r="G488">
        <v>18.600000000000001</v>
      </c>
      <c r="H488">
        <v>64.53</v>
      </c>
      <c r="I488" t="s">
        <v>61</v>
      </c>
      <c r="J488">
        <v>344</v>
      </c>
      <c r="K488">
        <v>2</v>
      </c>
    </row>
    <row r="489" spans="1:11">
      <c r="A489" t="s">
        <v>536</v>
      </c>
      <c r="B489" t="s">
        <v>24</v>
      </c>
      <c r="C489" t="s">
        <v>41</v>
      </c>
      <c r="D489" t="s">
        <v>38</v>
      </c>
      <c r="E489" s="1">
        <v>45161</v>
      </c>
      <c r="F489" s="1">
        <v>45166</v>
      </c>
      <c r="G489">
        <v>26.8</v>
      </c>
      <c r="H489">
        <v>280.97000000000003</v>
      </c>
      <c r="I489" t="s">
        <v>16</v>
      </c>
      <c r="J489">
        <v>1996</v>
      </c>
      <c r="K489">
        <v>5</v>
      </c>
    </row>
    <row r="490" spans="1:11">
      <c r="A490" t="s">
        <v>537</v>
      </c>
      <c r="B490" t="s">
        <v>57</v>
      </c>
      <c r="C490" t="s">
        <v>71</v>
      </c>
      <c r="D490" t="s">
        <v>26</v>
      </c>
      <c r="E490" s="1">
        <v>45102</v>
      </c>
      <c r="F490" s="1">
        <v>45108</v>
      </c>
      <c r="G490">
        <v>8.6</v>
      </c>
      <c r="H490">
        <v>219.42</v>
      </c>
      <c r="I490" t="s">
        <v>48</v>
      </c>
      <c r="J490">
        <v>1671</v>
      </c>
      <c r="K490">
        <v>5</v>
      </c>
    </row>
    <row r="491" spans="1:11">
      <c r="A491" t="s">
        <v>538</v>
      </c>
      <c r="B491" t="s">
        <v>52</v>
      </c>
      <c r="C491" t="s">
        <v>55</v>
      </c>
      <c r="D491" t="s">
        <v>33</v>
      </c>
      <c r="E491" s="1">
        <v>45282</v>
      </c>
      <c r="F491" s="1">
        <v>45286</v>
      </c>
      <c r="G491">
        <v>53.2</v>
      </c>
      <c r="H491">
        <v>204.86</v>
      </c>
      <c r="I491" t="s">
        <v>16</v>
      </c>
      <c r="J491">
        <v>829</v>
      </c>
      <c r="K491">
        <v>4</v>
      </c>
    </row>
    <row r="492" spans="1:11">
      <c r="A492" t="s">
        <v>539</v>
      </c>
      <c r="B492" t="s">
        <v>28</v>
      </c>
      <c r="C492" t="s">
        <v>71</v>
      </c>
      <c r="D492" t="s">
        <v>38</v>
      </c>
      <c r="E492" s="1">
        <v>45169</v>
      </c>
      <c r="F492" s="1">
        <v>45175</v>
      </c>
      <c r="G492">
        <v>14.9</v>
      </c>
      <c r="H492">
        <v>186.3</v>
      </c>
      <c r="I492" t="s">
        <v>16</v>
      </c>
      <c r="J492">
        <v>1508</v>
      </c>
      <c r="K492">
        <v>6</v>
      </c>
    </row>
    <row r="493" spans="1:11">
      <c r="A493" t="s">
        <v>540</v>
      </c>
      <c r="B493" t="s">
        <v>21</v>
      </c>
      <c r="C493" t="s">
        <v>47</v>
      </c>
      <c r="D493" t="s">
        <v>19</v>
      </c>
      <c r="E493" s="1">
        <v>45094</v>
      </c>
      <c r="F493" s="1">
        <v>45097</v>
      </c>
      <c r="G493">
        <v>59.4</v>
      </c>
      <c r="H493">
        <v>316.73</v>
      </c>
      <c r="I493" t="s">
        <v>16</v>
      </c>
      <c r="J493">
        <v>1504</v>
      </c>
      <c r="K493">
        <v>3</v>
      </c>
    </row>
    <row r="494" spans="1:11">
      <c r="A494" t="s">
        <v>541</v>
      </c>
      <c r="B494" t="s">
        <v>36</v>
      </c>
      <c r="C494" t="s">
        <v>25</v>
      </c>
      <c r="D494" t="s">
        <v>60</v>
      </c>
      <c r="E494" s="1">
        <v>45086</v>
      </c>
      <c r="F494" s="1">
        <v>45090</v>
      </c>
      <c r="G494">
        <v>16.899999999999999</v>
      </c>
      <c r="H494">
        <v>213.15</v>
      </c>
      <c r="I494" t="s">
        <v>16</v>
      </c>
      <c r="J494">
        <v>1844</v>
      </c>
      <c r="K494">
        <v>4</v>
      </c>
    </row>
    <row r="495" spans="1:11">
      <c r="A495" t="s">
        <v>542</v>
      </c>
      <c r="B495" t="s">
        <v>40</v>
      </c>
      <c r="C495" t="s">
        <v>82</v>
      </c>
      <c r="D495" t="s">
        <v>33</v>
      </c>
      <c r="E495" s="1">
        <v>44963</v>
      </c>
      <c r="F495" s="1">
        <v>44967</v>
      </c>
      <c r="G495">
        <v>13.4</v>
      </c>
      <c r="H495">
        <v>139.6</v>
      </c>
      <c r="I495" t="s">
        <v>16</v>
      </c>
      <c r="J495">
        <v>1030</v>
      </c>
      <c r="K495">
        <v>4</v>
      </c>
    </row>
    <row r="496" spans="1:11">
      <c r="A496" t="s">
        <v>543</v>
      </c>
      <c r="B496" t="s">
        <v>50</v>
      </c>
      <c r="C496" t="s">
        <v>32</v>
      </c>
      <c r="D496" t="s">
        <v>19</v>
      </c>
      <c r="E496" s="1">
        <v>45168</v>
      </c>
      <c r="F496" s="1">
        <v>45170</v>
      </c>
      <c r="G496">
        <v>11.4</v>
      </c>
      <c r="H496">
        <v>65.290000000000006</v>
      </c>
      <c r="I496" t="s">
        <v>16</v>
      </c>
      <c r="J496">
        <v>319</v>
      </c>
      <c r="K496">
        <v>2</v>
      </c>
    </row>
    <row r="497" spans="1:11">
      <c r="A497" t="s">
        <v>544</v>
      </c>
      <c r="B497" t="s">
        <v>50</v>
      </c>
      <c r="C497" t="s">
        <v>45</v>
      </c>
      <c r="D497" t="s">
        <v>19</v>
      </c>
      <c r="E497" s="1">
        <v>45034</v>
      </c>
      <c r="F497" s="1">
        <v>45040</v>
      </c>
      <c r="G497">
        <v>10.8</v>
      </c>
      <c r="H497">
        <v>256.45</v>
      </c>
      <c r="I497" t="s">
        <v>16</v>
      </c>
      <c r="J497">
        <v>1635</v>
      </c>
      <c r="K497">
        <v>6</v>
      </c>
    </row>
    <row r="498" spans="1:11">
      <c r="A498" t="s">
        <v>545</v>
      </c>
      <c r="B498" t="s">
        <v>13</v>
      </c>
      <c r="C498" t="s">
        <v>82</v>
      </c>
      <c r="D498" t="s">
        <v>33</v>
      </c>
      <c r="E498" s="1">
        <v>45172</v>
      </c>
      <c r="F498" s="1">
        <v>45175</v>
      </c>
      <c r="G498">
        <v>68.5</v>
      </c>
      <c r="H498">
        <v>235.28</v>
      </c>
      <c r="I498" t="s">
        <v>16</v>
      </c>
      <c r="J498">
        <v>1058</v>
      </c>
      <c r="K498">
        <v>3</v>
      </c>
    </row>
    <row r="499" spans="1:11">
      <c r="A499" t="s">
        <v>546</v>
      </c>
      <c r="B499" t="s">
        <v>13</v>
      </c>
      <c r="C499" t="s">
        <v>82</v>
      </c>
      <c r="D499" t="s">
        <v>33</v>
      </c>
      <c r="E499" s="1">
        <v>44928</v>
      </c>
      <c r="F499" s="1">
        <v>44929</v>
      </c>
      <c r="G499">
        <v>22.1</v>
      </c>
      <c r="H499">
        <v>69.52</v>
      </c>
      <c r="I499" t="s">
        <v>16</v>
      </c>
      <c r="J499">
        <v>309</v>
      </c>
      <c r="K499">
        <v>1</v>
      </c>
    </row>
    <row r="500" spans="1:11">
      <c r="A500" t="s">
        <v>547</v>
      </c>
      <c r="B500" t="s">
        <v>57</v>
      </c>
      <c r="C500" t="s">
        <v>22</v>
      </c>
      <c r="D500" t="s">
        <v>38</v>
      </c>
      <c r="E500" s="1">
        <v>45288</v>
      </c>
      <c r="F500" s="1">
        <v>45290</v>
      </c>
      <c r="G500">
        <v>9</v>
      </c>
      <c r="H500">
        <v>149.84</v>
      </c>
      <c r="I500" t="s">
        <v>16</v>
      </c>
      <c r="J500">
        <v>1002</v>
      </c>
      <c r="K500">
        <v>2</v>
      </c>
    </row>
    <row r="501" spans="1:11">
      <c r="A501" t="s">
        <v>548</v>
      </c>
      <c r="B501" t="s">
        <v>28</v>
      </c>
      <c r="C501" t="s">
        <v>82</v>
      </c>
      <c r="D501" t="s">
        <v>19</v>
      </c>
      <c r="E501" s="1">
        <v>45197</v>
      </c>
      <c r="F501" s="1">
        <v>45199</v>
      </c>
      <c r="G501">
        <v>10.7</v>
      </c>
      <c r="H501">
        <v>51.05</v>
      </c>
      <c r="I501" t="s">
        <v>16</v>
      </c>
      <c r="J501">
        <v>295</v>
      </c>
      <c r="K501">
        <v>2</v>
      </c>
    </row>
    <row r="502" spans="1:11">
      <c r="A502" t="s">
        <v>549</v>
      </c>
      <c r="B502" t="s">
        <v>31</v>
      </c>
      <c r="C502" t="s">
        <v>25</v>
      </c>
      <c r="D502" t="s">
        <v>15</v>
      </c>
      <c r="E502" s="1">
        <v>45148</v>
      </c>
      <c r="F502" s="1">
        <v>45153</v>
      </c>
      <c r="G502">
        <v>4.4000000000000004</v>
      </c>
      <c r="H502">
        <v>316.41000000000003</v>
      </c>
      <c r="I502" t="s">
        <v>16</v>
      </c>
      <c r="J502">
        <v>2252</v>
      </c>
      <c r="K502">
        <v>5</v>
      </c>
    </row>
    <row r="503" spans="1:11">
      <c r="A503" t="s">
        <v>550</v>
      </c>
      <c r="B503" t="s">
        <v>21</v>
      </c>
      <c r="C503" t="s">
        <v>25</v>
      </c>
      <c r="D503" t="s">
        <v>15</v>
      </c>
      <c r="E503" s="1">
        <v>45123</v>
      </c>
      <c r="F503" s="1">
        <v>45128</v>
      </c>
      <c r="G503">
        <v>39</v>
      </c>
      <c r="H503">
        <v>195.48</v>
      </c>
      <c r="I503" t="s">
        <v>16</v>
      </c>
      <c r="J503">
        <v>1135</v>
      </c>
      <c r="K503">
        <v>5</v>
      </c>
    </row>
    <row r="504" spans="1:11">
      <c r="A504" t="s">
        <v>551</v>
      </c>
      <c r="B504" t="s">
        <v>21</v>
      </c>
      <c r="C504" t="s">
        <v>71</v>
      </c>
      <c r="D504" t="s">
        <v>38</v>
      </c>
      <c r="E504" s="1">
        <v>45104</v>
      </c>
      <c r="F504" s="1">
        <v>45110</v>
      </c>
      <c r="G504">
        <v>15.9</v>
      </c>
      <c r="H504">
        <v>331.92</v>
      </c>
      <c r="I504" t="s">
        <v>16</v>
      </c>
      <c r="J504">
        <v>2378</v>
      </c>
      <c r="K504">
        <v>6</v>
      </c>
    </row>
    <row r="505" spans="1:11">
      <c r="A505" t="s">
        <v>552</v>
      </c>
      <c r="B505" t="s">
        <v>50</v>
      </c>
      <c r="C505" t="s">
        <v>58</v>
      </c>
      <c r="D505" t="s">
        <v>60</v>
      </c>
      <c r="E505" s="1">
        <v>45260</v>
      </c>
      <c r="F505" s="1">
        <v>45264</v>
      </c>
      <c r="G505">
        <v>10.3</v>
      </c>
      <c r="H505">
        <v>227.04</v>
      </c>
      <c r="I505" t="s">
        <v>16</v>
      </c>
      <c r="J505">
        <v>1473</v>
      </c>
      <c r="K505">
        <v>4</v>
      </c>
    </row>
    <row r="506" spans="1:11">
      <c r="A506" t="s">
        <v>553</v>
      </c>
      <c r="B506" t="s">
        <v>13</v>
      </c>
      <c r="C506" t="s">
        <v>41</v>
      </c>
      <c r="D506" t="s">
        <v>43</v>
      </c>
      <c r="E506" s="1">
        <v>45288</v>
      </c>
      <c r="F506" s="1">
        <v>45292</v>
      </c>
      <c r="G506">
        <v>26.9</v>
      </c>
      <c r="H506">
        <v>260.39999999999998</v>
      </c>
      <c r="I506" t="s">
        <v>16</v>
      </c>
      <c r="J506">
        <v>1433</v>
      </c>
      <c r="K506">
        <v>4</v>
      </c>
    </row>
    <row r="507" spans="1:11">
      <c r="A507" t="s">
        <v>554</v>
      </c>
      <c r="B507" t="s">
        <v>13</v>
      </c>
      <c r="C507" t="s">
        <v>22</v>
      </c>
      <c r="D507" t="s">
        <v>33</v>
      </c>
      <c r="E507" s="1">
        <v>45219</v>
      </c>
      <c r="F507" s="1">
        <v>45221</v>
      </c>
      <c r="G507">
        <v>51.6</v>
      </c>
      <c r="H507">
        <v>103.41</v>
      </c>
      <c r="I507" t="s">
        <v>16</v>
      </c>
      <c r="J507">
        <v>239</v>
      </c>
      <c r="K507">
        <v>2</v>
      </c>
    </row>
    <row r="508" spans="1:11">
      <c r="A508" t="s">
        <v>555</v>
      </c>
      <c r="B508" t="s">
        <v>31</v>
      </c>
      <c r="C508" t="s">
        <v>18</v>
      </c>
      <c r="D508" t="s">
        <v>15</v>
      </c>
      <c r="E508" s="1">
        <v>45182</v>
      </c>
      <c r="F508" s="1">
        <v>45187</v>
      </c>
      <c r="G508">
        <v>8.9</v>
      </c>
      <c r="H508">
        <v>298.41000000000003</v>
      </c>
      <c r="I508" t="s">
        <v>16</v>
      </c>
      <c r="J508">
        <v>2461</v>
      </c>
      <c r="K508">
        <v>5</v>
      </c>
    </row>
    <row r="509" spans="1:11">
      <c r="A509" t="s">
        <v>556</v>
      </c>
      <c r="B509" t="s">
        <v>52</v>
      </c>
      <c r="C509" t="s">
        <v>55</v>
      </c>
      <c r="D509" t="s">
        <v>19</v>
      </c>
      <c r="E509" s="1">
        <v>45260</v>
      </c>
      <c r="F509" s="1">
        <v>45265</v>
      </c>
      <c r="G509">
        <v>12.5</v>
      </c>
      <c r="H509">
        <v>283.77999999999997</v>
      </c>
      <c r="I509" t="s">
        <v>16</v>
      </c>
      <c r="J509">
        <v>1588</v>
      </c>
      <c r="K509">
        <v>5</v>
      </c>
    </row>
    <row r="510" spans="1:11">
      <c r="A510" t="s">
        <v>557</v>
      </c>
      <c r="B510" t="s">
        <v>24</v>
      </c>
      <c r="C510" t="s">
        <v>82</v>
      </c>
      <c r="D510" t="s">
        <v>60</v>
      </c>
      <c r="E510" s="1">
        <v>45168</v>
      </c>
      <c r="F510" s="1">
        <v>45169</v>
      </c>
      <c r="G510">
        <v>9.9</v>
      </c>
      <c r="H510">
        <v>52.96</v>
      </c>
      <c r="I510" t="s">
        <v>16</v>
      </c>
      <c r="J510">
        <v>328</v>
      </c>
      <c r="K510">
        <v>1</v>
      </c>
    </row>
    <row r="511" spans="1:11">
      <c r="A511" t="s">
        <v>558</v>
      </c>
      <c r="B511" t="s">
        <v>24</v>
      </c>
      <c r="C511" t="s">
        <v>71</v>
      </c>
      <c r="D511" t="s">
        <v>15</v>
      </c>
      <c r="E511" s="1">
        <v>45188</v>
      </c>
      <c r="F511" s="1">
        <v>45193</v>
      </c>
      <c r="G511">
        <v>11.2</v>
      </c>
      <c r="H511">
        <v>306.47000000000003</v>
      </c>
      <c r="I511" t="s">
        <v>16</v>
      </c>
      <c r="J511">
        <v>2213</v>
      </c>
      <c r="K511">
        <v>5</v>
      </c>
    </row>
    <row r="512" spans="1:11">
      <c r="A512" t="s">
        <v>559</v>
      </c>
      <c r="B512" t="s">
        <v>28</v>
      </c>
      <c r="C512" t="s">
        <v>53</v>
      </c>
      <c r="D512" t="s">
        <v>60</v>
      </c>
      <c r="E512" s="1">
        <v>44934</v>
      </c>
      <c r="F512" s="1">
        <v>44946</v>
      </c>
      <c r="G512">
        <v>19.8</v>
      </c>
      <c r="H512">
        <v>263.66000000000003</v>
      </c>
      <c r="I512" t="s">
        <v>48</v>
      </c>
      <c r="J512">
        <v>2186</v>
      </c>
      <c r="K512">
        <v>6</v>
      </c>
    </row>
    <row r="513" spans="1:11">
      <c r="A513" t="s">
        <v>560</v>
      </c>
      <c r="B513" t="s">
        <v>21</v>
      </c>
      <c r="C513" t="s">
        <v>82</v>
      </c>
      <c r="D513" t="s">
        <v>33</v>
      </c>
      <c r="E513" s="1">
        <v>45114</v>
      </c>
      <c r="F513" s="1">
        <v>45125</v>
      </c>
      <c r="G513">
        <v>16.5</v>
      </c>
      <c r="H513">
        <v>196.73</v>
      </c>
      <c r="I513" t="s">
        <v>48</v>
      </c>
      <c r="J513">
        <v>1228</v>
      </c>
      <c r="K513">
        <v>4</v>
      </c>
    </row>
    <row r="514" spans="1:11">
      <c r="A514" t="s">
        <v>561</v>
      </c>
      <c r="B514" t="s">
        <v>36</v>
      </c>
      <c r="C514" t="s">
        <v>37</v>
      </c>
      <c r="D514" t="s">
        <v>43</v>
      </c>
      <c r="E514" s="1">
        <v>45172</v>
      </c>
      <c r="F514" s="1">
        <v>45176</v>
      </c>
      <c r="G514">
        <v>12.1</v>
      </c>
      <c r="H514">
        <v>206.41</v>
      </c>
      <c r="I514" t="s">
        <v>16</v>
      </c>
      <c r="J514">
        <v>1553</v>
      </c>
      <c r="K514">
        <v>4</v>
      </c>
    </row>
    <row r="515" spans="1:11">
      <c r="A515" t="s">
        <v>562</v>
      </c>
      <c r="B515" t="s">
        <v>31</v>
      </c>
      <c r="C515" t="s">
        <v>71</v>
      </c>
      <c r="D515" t="s">
        <v>26</v>
      </c>
      <c r="E515" s="1">
        <v>45005</v>
      </c>
      <c r="F515" s="1">
        <v>45009</v>
      </c>
      <c r="G515">
        <v>50.9</v>
      </c>
      <c r="H515">
        <v>224.98</v>
      </c>
      <c r="I515" t="s">
        <v>16</v>
      </c>
      <c r="J515">
        <v>1225</v>
      </c>
      <c r="K515">
        <v>4</v>
      </c>
    </row>
    <row r="516" spans="1:11">
      <c r="A516" t="s">
        <v>563</v>
      </c>
      <c r="B516" t="s">
        <v>31</v>
      </c>
      <c r="C516" t="s">
        <v>18</v>
      </c>
      <c r="D516" t="s">
        <v>38</v>
      </c>
      <c r="E516" s="1">
        <v>45127</v>
      </c>
      <c r="F516" s="1">
        <v>45130</v>
      </c>
      <c r="G516">
        <v>20.5</v>
      </c>
      <c r="H516">
        <v>202.83</v>
      </c>
      <c r="I516" t="s">
        <v>16</v>
      </c>
      <c r="J516">
        <v>1428</v>
      </c>
      <c r="K516">
        <v>3</v>
      </c>
    </row>
    <row r="517" spans="1:11">
      <c r="A517" t="s">
        <v>564</v>
      </c>
      <c r="B517" t="s">
        <v>40</v>
      </c>
      <c r="C517" t="s">
        <v>37</v>
      </c>
      <c r="D517" t="s">
        <v>43</v>
      </c>
      <c r="E517" s="1">
        <v>45286</v>
      </c>
      <c r="F517" s="1">
        <v>45287</v>
      </c>
      <c r="G517">
        <v>24.1</v>
      </c>
      <c r="H517">
        <v>79.56</v>
      </c>
      <c r="I517" t="s">
        <v>16</v>
      </c>
      <c r="J517">
        <v>267</v>
      </c>
      <c r="K517">
        <v>1</v>
      </c>
    </row>
    <row r="518" spans="1:11">
      <c r="A518" t="s">
        <v>565</v>
      </c>
      <c r="B518" t="s">
        <v>31</v>
      </c>
      <c r="C518" t="s">
        <v>58</v>
      </c>
      <c r="D518" t="s">
        <v>15</v>
      </c>
      <c r="E518" s="1">
        <v>44998</v>
      </c>
      <c r="F518" s="1">
        <v>44999</v>
      </c>
      <c r="G518">
        <v>8.9</v>
      </c>
      <c r="H518">
        <v>89.78</v>
      </c>
      <c r="I518" t="s">
        <v>16</v>
      </c>
      <c r="J518">
        <v>650</v>
      </c>
      <c r="K518">
        <v>1</v>
      </c>
    </row>
    <row r="519" spans="1:11">
      <c r="A519" t="s">
        <v>566</v>
      </c>
      <c r="B519" t="s">
        <v>40</v>
      </c>
      <c r="C519" t="s">
        <v>47</v>
      </c>
      <c r="D519" t="s">
        <v>60</v>
      </c>
      <c r="E519" s="1">
        <v>45257</v>
      </c>
      <c r="F519" s="1">
        <v>45263</v>
      </c>
      <c r="G519">
        <v>80</v>
      </c>
      <c r="H519">
        <v>485.62</v>
      </c>
      <c r="I519" t="s">
        <v>16</v>
      </c>
      <c r="J519">
        <v>2479</v>
      </c>
      <c r="K519">
        <v>6</v>
      </c>
    </row>
    <row r="520" spans="1:11">
      <c r="A520" t="s">
        <v>567</v>
      </c>
      <c r="B520" t="s">
        <v>13</v>
      </c>
      <c r="C520" t="s">
        <v>22</v>
      </c>
      <c r="D520" t="s">
        <v>15</v>
      </c>
      <c r="E520" s="1">
        <v>45015</v>
      </c>
      <c r="F520" s="1">
        <v>45020</v>
      </c>
      <c r="G520">
        <v>15.4</v>
      </c>
      <c r="H520">
        <v>241.05</v>
      </c>
      <c r="I520" t="s">
        <v>16</v>
      </c>
      <c r="J520">
        <v>1859</v>
      </c>
      <c r="K520">
        <v>5</v>
      </c>
    </row>
    <row r="521" spans="1:11">
      <c r="A521" t="s">
        <v>568</v>
      </c>
      <c r="B521" t="s">
        <v>21</v>
      </c>
      <c r="C521" t="s">
        <v>53</v>
      </c>
      <c r="D521" t="s">
        <v>60</v>
      </c>
      <c r="E521" s="1">
        <v>44958</v>
      </c>
      <c r="F521" s="1">
        <v>44966</v>
      </c>
      <c r="G521">
        <v>21.4</v>
      </c>
      <c r="H521">
        <v>68.02</v>
      </c>
      <c r="I521" t="s">
        <v>48</v>
      </c>
      <c r="J521">
        <v>373</v>
      </c>
      <c r="K521">
        <v>3</v>
      </c>
    </row>
    <row r="522" spans="1:11">
      <c r="A522" t="s">
        <v>569</v>
      </c>
      <c r="B522" t="s">
        <v>21</v>
      </c>
      <c r="C522" t="s">
        <v>47</v>
      </c>
      <c r="D522" t="s">
        <v>26</v>
      </c>
      <c r="E522" s="1">
        <v>45109</v>
      </c>
      <c r="F522" s="1">
        <v>45111</v>
      </c>
      <c r="G522">
        <v>6.6</v>
      </c>
      <c r="H522">
        <v>115.73</v>
      </c>
      <c r="I522" t="s">
        <v>16</v>
      </c>
      <c r="J522">
        <v>912</v>
      </c>
      <c r="K522">
        <v>2</v>
      </c>
    </row>
    <row r="523" spans="1:11">
      <c r="A523" t="s">
        <v>570</v>
      </c>
      <c r="B523" t="s">
        <v>24</v>
      </c>
      <c r="C523" t="s">
        <v>18</v>
      </c>
      <c r="D523" t="s">
        <v>19</v>
      </c>
      <c r="E523" s="1">
        <v>45093</v>
      </c>
      <c r="F523" s="1">
        <v>45095</v>
      </c>
      <c r="G523">
        <v>27.4</v>
      </c>
      <c r="H523">
        <v>98.31</v>
      </c>
      <c r="I523" t="s">
        <v>16</v>
      </c>
      <c r="J523">
        <v>490</v>
      </c>
      <c r="K523">
        <v>2</v>
      </c>
    </row>
    <row r="524" spans="1:11">
      <c r="A524" t="s">
        <v>571</v>
      </c>
      <c r="B524" t="s">
        <v>36</v>
      </c>
      <c r="C524" t="s">
        <v>55</v>
      </c>
      <c r="D524" t="s">
        <v>43</v>
      </c>
      <c r="E524" s="1">
        <v>45092</v>
      </c>
      <c r="F524" s="1">
        <v>45095</v>
      </c>
      <c r="G524">
        <v>20.100000000000001</v>
      </c>
      <c r="H524">
        <v>195.91</v>
      </c>
      <c r="I524" t="s">
        <v>16</v>
      </c>
      <c r="J524">
        <v>1350</v>
      </c>
      <c r="K524">
        <v>3</v>
      </c>
    </row>
    <row r="525" spans="1:11">
      <c r="A525" t="s">
        <v>572</v>
      </c>
      <c r="B525" t="s">
        <v>31</v>
      </c>
      <c r="C525" t="s">
        <v>37</v>
      </c>
      <c r="D525" t="s">
        <v>38</v>
      </c>
      <c r="E525" s="1">
        <v>45034</v>
      </c>
      <c r="F525" s="1">
        <v>45048</v>
      </c>
      <c r="G525">
        <v>24.7</v>
      </c>
      <c r="H525">
        <v>221.91</v>
      </c>
      <c r="I525" t="s">
        <v>48</v>
      </c>
      <c r="J525">
        <v>1572</v>
      </c>
      <c r="K525">
        <v>6</v>
      </c>
    </row>
    <row r="526" spans="1:11">
      <c r="A526" t="s">
        <v>573</v>
      </c>
      <c r="B526" t="s">
        <v>31</v>
      </c>
      <c r="C526" t="s">
        <v>41</v>
      </c>
      <c r="D526" t="s">
        <v>38</v>
      </c>
      <c r="E526" s="1">
        <v>45242</v>
      </c>
      <c r="F526" s="1">
        <v>45246</v>
      </c>
      <c r="G526">
        <v>6.9</v>
      </c>
      <c r="H526">
        <v>213.81</v>
      </c>
      <c r="I526" t="s">
        <v>16</v>
      </c>
      <c r="J526">
        <v>1517</v>
      </c>
      <c r="K526">
        <v>4</v>
      </c>
    </row>
    <row r="527" spans="1:11">
      <c r="A527" t="s">
        <v>574</v>
      </c>
      <c r="B527" t="s">
        <v>28</v>
      </c>
      <c r="C527" t="s">
        <v>82</v>
      </c>
      <c r="D527" t="s">
        <v>19</v>
      </c>
      <c r="E527" s="1">
        <v>45114</v>
      </c>
      <c r="F527" s="1">
        <v>45118</v>
      </c>
      <c r="G527">
        <v>34.700000000000003</v>
      </c>
      <c r="H527">
        <v>304.3</v>
      </c>
      <c r="I527" t="s">
        <v>16</v>
      </c>
      <c r="J527">
        <v>1785</v>
      </c>
      <c r="K527">
        <v>4</v>
      </c>
    </row>
    <row r="528" spans="1:11">
      <c r="A528" t="s">
        <v>575</v>
      </c>
      <c r="B528" t="s">
        <v>28</v>
      </c>
      <c r="C528" t="s">
        <v>58</v>
      </c>
      <c r="D528" t="s">
        <v>26</v>
      </c>
      <c r="E528" s="1">
        <v>45040</v>
      </c>
      <c r="F528" s="1">
        <v>45043</v>
      </c>
      <c r="G528">
        <v>20.3</v>
      </c>
      <c r="H528">
        <v>89.33</v>
      </c>
      <c r="I528" t="s">
        <v>16</v>
      </c>
      <c r="J528">
        <v>543</v>
      </c>
      <c r="K528">
        <v>3</v>
      </c>
    </row>
    <row r="529" spans="1:11">
      <c r="A529" t="s">
        <v>576</v>
      </c>
      <c r="B529" t="s">
        <v>21</v>
      </c>
      <c r="C529" t="s">
        <v>53</v>
      </c>
      <c r="D529" t="s">
        <v>26</v>
      </c>
      <c r="E529" s="1">
        <v>44960</v>
      </c>
      <c r="F529" s="1">
        <v>44963</v>
      </c>
      <c r="G529">
        <v>32.200000000000003</v>
      </c>
      <c r="H529">
        <v>83.7</v>
      </c>
      <c r="I529" t="s">
        <v>16</v>
      </c>
      <c r="J529">
        <v>373</v>
      </c>
      <c r="K529">
        <v>3</v>
      </c>
    </row>
    <row r="530" spans="1:11">
      <c r="A530" t="s">
        <v>577</v>
      </c>
      <c r="B530" t="s">
        <v>31</v>
      </c>
      <c r="C530" t="s">
        <v>14</v>
      </c>
      <c r="D530" t="s">
        <v>26</v>
      </c>
      <c r="E530" s="1">
        <v>45090</v>
      </c>
      <c r="F530" s="1">
        <v>45093</v>
      </c>
      <c r="G530">
        <v>34.700000000000003</v>
      </c>
      <c r="H530">
        <v>183.65</v>
      </c>
      <c r="I530" t="s">
        <v>16</v>
      </c>
      <c r="J530">
        <v>1055</v>
      </c>
      <c r="K530">
        <v>3</v>
      </c>
    </row>
    <row r="531" spans="1:11">
      <c r="A531" t="s">
        <v>578</v>
      </c>
      <c r="B531" t="s">
        <v>13</v>
      </c>
      <c r="C531" t="s">
        <v>18</v>
      </c>
      <c r="D531" t="s">
        <v>33</v>
      </c>
      <c r="E531" s="1">
        <v>45127</v>
      </c>
      <c r="F531" s="1">
        <v>45133</v>
      </c>
      <c r="G531">
        <v>19.399999999999999</v>
      </c>
      <c r="H531">
        <v>323.37</v>
      </c>
      <c r="I531" t="s">
        <v>16</v>
      </c>
      <c r="J531">
        <v>2177</v>
      </c>
      <c r="K531">
        <v>6</v>
      </c>
    </row>
    <row r="532" spans="1:11">
      <c r="A532" t="s">
        <v>579</v>
      </c>
      <c r="B532" t="s">
        <v>52</v>
      </c>
      <c r="C532" t="s">
        <v>22</v>
      </c>
      <c r="D532" t="s">
        <v>15</v>
      </c>
      <c r="E532" s="1">
        <v>45243</v>
      </c>
      <c r="F532" s="1">
        <v>45248</v>
      </c>
      <c r="G532">
        <v>5.5</v>
      </c>
      <c r="H532">
        <v>248.81</v>
      </c>
      <c r="I532" t="s">
        <v>16</v>
      </c>
      <c r="J532">
        <v>1769</v>
      </c>
      <c r="K532">
        <v>5</v>
      </c>
    </row>
    <row r="533" spans="1:11">
      <c r="A533" t="s">
        <v>580</v>
      </c>
      <c r="B533" t="s">
        <v>40</v>
      </c>
      <c r="C533" t="s">
        <v>47</v>
      </c>
      <c r="D533" t="s">
        <v>38</v>
      </c>
      <c r="E533" s="1">
        <v>45203</v>
      </c>
      <c r="F533" s="1">
        <v>45206</v>
      </c>
      <c r="G533">
        <v>37.9</v>
      </c>
      <c r="H533">
        <v>186.54</v>
      </c>
      <c r="I533" t="s">
        <v>16</v>
      </c>
      <c r="J533">
        <v>1126</v>
      </c>
      <c r="K533">
        <v>3</v>
      </c>
    </row>
    <row r="534" spans="1:11">
      <c r="A534" t="s">
        <v>581</v>
      </c>
      <c r="B534" t="s">
        <v>21</v>
      </c>
      <c r="C534" t="s">
        <v>58</v>
      </c>
      <c r="D534" t="s">
        <v>43</v>
      </c>
      <c r="E534" s="1">
        <v>45122</v>
      </c>
      <c r="F534" s="1">
        <v>45127</v>
      </c>
      <c r="G534">
        <v>36.4</v>
      </c>
      <c r="H534">
        <v>257.54000000000002</v>
      </c>
      <c r="I534" t="s">
        <v>16</v>
      </c>
      <c r="J534">
        <v>1685</v>
      </c>
      <c r="K534">
        <v>5</v>
      </c>
    </row>
    <row r="535" spans="1:11">
      <c r="A535" t="s">
        <v>582</v>
      </c>
      <c r="B535" t="s">
        <v>31</v>
      </c>
      <c r="C535" t="s">
        <v>29</v>
      </c>
      <c r="D535" t="s">
        <v>26</v>
      </c>
      <c r="E535" s="1">
        <v>44986</v>
      </c>
      <c r="F535" s="1">
        <v>44991</v>
      </c>
      <c r="G535">
        <v>31.4</v>
      </c>
      <c r="H535">
        <v>130.31</v>
      </c>
      <c r="I535" t="s">
        <v>16</v>
      </c>
      <c r="J535">
        <v>838</v>
      </c>
      <c r="K535">
        <v>5</v>
      </c>
    </row>
    <row r="536" spans="1:11">
      <c r="A536" t="s">
        <v>583</v>
      </c>
      <c r="B536" t="s">
        <v>31</v>
      </c>
      <c r="C536" t="s">
        <v>55</v>
      </c>
      <c r="D536" t="s">
        <v>26</v>
      </c>
      <c r="E536" s="1">
        <v>44988</v>
      </c>
      <c r="F536" s="1">
        <v>44994</v>
      </c>
      <c r="G536">
        <v>13.3</v>
      </c>
      <c r="H536">
        <v>236.71</v>
      </c>
      <c r="I536" t="s">
        <v>63</v>
      </c>
      <c r="J536">
        <v>2025</v>
      </c>
      <c r="K536">
        <v>6</v>
      </c>
    </row>
    <row r="537" spans="1:11">
      <c r="A537" t="s">
        <v>584</v>
      </c>
      <c r="B537" t="s">
        <v>52</v>
      </c>
      <c r="C537" t="s">
        <v>25</v>
      </c>
      <c r="D537" t="s">
        <v>43</v>
      </c>
      <c r="E537" s="1">
        <v>45029</v>
      </c>
      <c r="F537" s="1">
        <v>45030</v>
      </c>
      <c r="G537">
        <v>15.4</v>
      </c>
      <c r="H537">
        <v>33.51</v>
      </c>
      <c r="I537" t="s">
        <v>16</v>
      </c>
      <c r="J537">
        <v>121</v>
      </c>
      <c r="K537">
        <v>1</v>
      </c>
    </row>
    <row r="538" spans="1:11">
      <c r="A538" t="s">
        <v>585</v>
      </c>
      <c r="B538" t="s">
        <v>52</v>
      </c>
      <c r="C538" t="s">
        <v>45</v>
      </c>
      <c r="D538" t="s">
        <v>33</v>
      </c>
      <c r="E538" s="1">
        <v>45010</v>
      </c>
      <c r="F538" s="1">
        <v>45024</v>
      </c>
      <c r="G538">
        <v>11.1</v>
      </c>
      <c r="H538">
        <v>113.5</v>
      </c>
      <c r="I538" t="s">
        <v>48</v>
      </c>
      <c r="J538">
        <v>790</v>
      </c>
      <c r="K538">
        <v>4</v>
      </c>
    </row>
    <row r="539" spans="1:11">
      <c r="A539" t="s">
        <v>586</v>
      </c>
      <c r="B539" t="s">
        <v>31</v>
      </c>
      <c r="C539" t="s">
        <v>22</v>
      </c>
      <c r="D539" t="s">
        <v>43</v>
      </c>
      <c r="E539" s="1">
        <v>45030</v>
      </c>
      <c r="F539" s="1">
        <v>45033</v>
      </c>
      <c r="G539">
        <v>51.4</v>
      </c>
      <c r="H539">
        <v>143.25</v>
      </c>
      <c r="I539" t="s">
        <v>16</v>
      </c>
      <c r="J539">
        <v>582</v>
      </c>
      <c r="K539">
        <v>3</v>
      </c>
    </row>
    <row r="540" spans="1:11">
      <c r="A540" t="s">
        <v>587</v>
      </c>
      <c r="B540" t="s">
        <v>31</v>
      </c>
      <c r="C540" t="s">
        <v>32</v>
      </c>
      <c r="D540" t="s">
        <v>43</v>
      </c>
      <c r="E540" s="1">
        <v>45063</v>
      </c>
      <c r="F540" s="1">
        <v>45064</v>
      </c>
      <c r="G540">
        <v>55.6</v>
      </c>
      <c r="H540">
        <v>101.32</v>
      </c>
      <c r="I540" t="s">
        <v>16</v>
      </c>
      <c r="J540">
        <v>357</v>
      </c>
      <c r="K540">
        <v>1</v>
      </c>
    </row>
    <row r="541" spans="1:11">
      <c r="A541" t="s">
        <v>588</v>
      </c>
      <c r="B541" t="s">
        <v>28</v>
      </c>
      <c r="C541" t="s">
        <v>29</v>
      </c>
      <c r="D541" t="s">
        <v>38</v>
      </c>
      <c r="E541" s="1">
        <v>44999</v>
      </c>
      <c r="F541" s="1">
        <v>45003</v>
      </c>
      <c r="G541">
        <v>30.9</v>
      </c>
      <c r="H541">
        <v>151.63</v>
      </c>
      <c r="I541" t="s">
        <v>16</v>
      </c>
      <c r="J541">
        <v>961</v>
      </c>
      <c r="K541">
        <v>4</v>
      </c>
    </row>
    <row r="542" spans="1:11">
      <c r="A542" t="s">
        <v>589</v>
      </c>
      <c r="B542" t="s">
        <v>40</v>
      </c>
      <c r="C542" t="s">
        <v>55</v>
      </c>
      <c r="D542" t="s">
        <v>33</v>
      </c>
      <c r="E542" s="1">
        <v>45093</v>
      </c>
      <c r="F542" s="1">
        <v>45100</v>
      </c>
      <c r="G542">
        <v>5.4</v>
      </c>
      <c r="H542">
        <v>187.36</v>
      </c>
      <c r="I542" t="s">
        <v>16</v>
      </c>
      <c r="J542">
        <v>1292</v>
      </c>
      <c r="K542">
        <v>7</v>
      </c>
    </row>
    <row r="543" spans="1:11">
      <c r="A543" t="s">
        <v>590</v>
      </c>
      <c r="B543" t="s">
        <v>13</v>
      </c>
      <c r="C543" t="s">
        <v>71</v>
      </c>
      <c r="D543" t="s">
        <v>33</v>
      </c>
      <c r="E543" s="1">
        <v>45036</v>
      </c>
      <c r="F543" s="1">
        <v>45037</v>
      </c>
      <c r="G543">
        <v>35.4</v>
      </c>
      <c r="H543">
        <v>88.87</v>
      </c>
      <c r="I543" t="s">
        <v>16</v>
      </c>
      <c r="J543">
        <v>320</v>
      </c>
      <c r="K543">
        <v>1</v>
      </c>
    </row>
    <row r="544" spans="1:11">
      <c r="A544" t="s">
        <v>591</v>
      </c>
      <c r="B544" t="s">
        <v>13</v>
      </c>
      <c r="C544" t="s">
        <v>18</v>
      </c>
      <c r="D544" t="s">
        <v>38</v>
      </c>
      <c r="E544" s="1">
        <v>44934</v>
      </c>
      <c r="F544" s="1">
        <v>44937</v>
      </c>
      <c r="G544">
        <v>42.8</v>
      </c>
      <c r="I544" t="s">
        <v>16</v>
      </c>
      <c r="J544">
        <v>900</v>
      </c>
      <c r="K544">
        <v>3</v>
      </c>
    </row>
    <row r="545" spans="1:11">
      <c r="A545" t="s">
        <v>592</v>
      </c>
      <c r="B545" t="s">
        <v>50</v>
      </c>
      <c r="C545" t="s">
        <v>25</v>
      </c>
      <c r="D545" t="s">
        <v>43</v>
      </c>
      <c r="E545" s="1">
        <v>45192</v>
      </c>
      <c r="F545" s="1">
        <v>45197</v>
      </c>
      <c r="G545">
        <v>27.5</v>
      </c>
      <c r="H545">
        <v>227.05</v>
      </c>
      <c r="I545" t="s">
        <v>16</v>
      </c>
      <c r="J545">
        <v>1611</v>
      </c>
      <c r="K545">
        <v>5</v>
      </c>
    </row>
    <row r="546" spans="1:11">
      <c r="A546" t="s">
        <v>593</v>
      </c>
      <c r="B546" t="s">
        <v>31</v>
      </c>
      <c r="C546" t="s">
        <v>53</v>
      </c>
      <c r="D546" t="s">
        <v>43</v>
      </c>
      <c r="E546" s="1">
        <v>45213</v>
      </c>
      <c r="F546" s="1">
        <v>45218</v>
      </c>
      <c r="G546">
        <v>22.8</v>
      </c>
      <c r="H546">
        <v>184.9</v>
      </c>
      <c r="I546" t="s">
        <v>16</v>
      </c>
      <c r="J546">
        <v>1288</v>
      </c>
      <c r="K546">
        <v>5</v>
      </c>
    </row>
    <row r="547" spans="1:11">
      <c r="A547" t="s">
        <v>594</v>
      </c>
      <c r="B547" t="s">
        <v>28</v>
      </c>
      <c r="C547" t="s">
        <v>37</v>
      </c>
      <c r="D547" t="s">
        <v>33</v>
      </c>
      <c r="E547" s="1">
        <v>44945</v>
      </c>
      <c r="F547" s="1">
        <v>44949</v>
      </c>
      <c r="G547">
        <v>21.7</v>
      </c>
      <c r="H547">
        <v>139.26</v>
      </c>
      <c r="I547" t="s">
        <v>16</v>
      </c>
      <c r="J547">
        <v>896</v>
      </c>
      <c r="K547">
        <v>4</v>
      </c>
    </row>
    <row r="548" spans="1:11">
      <c r="A548" t="s">
        <v>595</v>
      </c>
      <c r="B548" t="s">
        <v>21</v>
      </c>
      <c r="C548" t="s">
        <v>47</v>
      </c>
      <c r="D548" t="s">
        <v>15</v>
      </c>
      <c r="E548" s="1">
        <v>45102</v>
      </c>
      <c r="F548" s="1">
        <v>45109</v>
      </c>
      <c r="G548">
        <v>37</v>
      </c>
      <c r="H548">
        <v>208.58</v>
      </c>
      <c r="I548" t="s">
        <v>16</v>
      </c>
      <c r="J548">
        <v>1452</v>
      </c>
      <c r="K548">
        <v>7</v>
      </c>
    </row>
    <row r="549" spans="1:11">
      <c r="A549" t="s">
        <v>596</v>
      </c>
      <c r="B549" t="s">
        <v>28</v>
      </c>
      <c r="C549" t="s">
        <v>29</v>
      </c>
      <c r="D549" t="s">
        <v>15</v>
      </c>
      <c r="E549" s="1">
        <v>45050</v>
      </c>
      <c r="F549" s="1">
        <v>45052</v>
      </c>
      <c r="G549">
        <v>20.100000000000001</v>
      </c>
      <c r="H549">
        <v>50.48</v>
      </c>
      <c r="I549" t="s">
        <v>63</v>
      </c>
      <c r="J549">
        <v>210</v>
      </c>
      <c r="K549">
        <v>2</v>
      </c>
    </row>
    <row r="550" spans="1:11">
      <c r="A550" t="s">
        <v>597</v>
      </c>
      <c r="B550" t="s">
        <v>36</v>
      </c>
      <c r="C550" t="s">
        <v>37</v>
      </c>
      <c r="D550" t="s">
        <v>33</v>
      </c>
      <c r="E550" s="1">
        <v>44938</v>
      </c>
      <c r="F550" s="1">
        <v>44940</v>
      </c>
      <c r="G550">
        <v>20.8</v>
      </c>
      <c r="H550">
        <v>74.77</v>
      </c>
      <c r="I550" t="s">
        <v>16</v>
      </c>
      <c r="J550">
        <v>389</v>
      </c>
      <c r="K550">
        <v>2</v>
      </c>
    </row>
    <row r="551" spans="1:11">
      <c r="A551" t="s">
        <v>598</v>
      </c>
      <c r="B551" t="s">
        <v>21</v>
      </c>
      <c r="C551" t="s">
        <v>32</v>
      </c>
      <c r="D551" t="s">
        <v>60</v>
      </c>
      <c r="E551" s="1">
        <v>45018</v>
      </c>
      <c r="F551" s="1">
        <v>45020</v>
      </c>
      <c r="G551">
        <v>7.4</v>
      </c>
      <c r="H551">
        <v>88.25</v>
      </c>
      <c r="I551" t="s">
        <v>68</v>
      </c>
      <c r="J551">
        <v>643</v>
      </c>
      <c r="K551">
        <v>2</v>
      </c>
    </row>
    <row r="552" spans="1:11">
      <c r="A552" t="s">
        <v>599</v>
      </c>
      <c r="B552" t="s">
        <v>31</v>
      </c>
      <c r="C552" t="s">
        <v>47</v>
      </c>
      <c r="D552" t="s">
        <v>60</v>
      </c>
      <c r="E552" s="1">
        <v>45165</v>
      </c>
      <c r="F552" s="1">
        <v>45167</v>
      </c>
      <c r="G552">
        <v>21.4</v>
      </c>
      <c r="H552">
        <v>109.1</v>
      </c>
      <c r="I552" t="s">
        <v>16</v>
      </c>
      <c r="J552">
        <v>838</v>
      </c>
      <c r="K552">
        <v>2</v>
      </c>
    </row>
    <row r="553" spans="1:11">
      <c r="A553" t="s">
        <v>600</v>
      </c>
      <c r="B553" t="s">
        <v>57</v>
      </c>
      <c r="C553" t="s">
        <v>41</v>
      </c>
      <c r="D553" t="s">
        <v>33</v>
      </c>
      <c r="E553" s="1">
        <v>45058</v>
      </c>
      <c r="F553" s="1">
        <v>45062</v>
      </c>
      <c r="G553">
        <v>20.3</v>
      </c>
      <c r="H553">
        <v>228.9</v>
      </c>
      <c r="I553" t="s">
        <v>16</v>
      </c>
      <c r="J553">
        <v>1383</v>
      </c>
      <c r="K553">
        <v>4</v>
      </c>
    </row>
    <row r="554" spans="1:11">
      <c r="A554" t="s">
        <v>601</v>
      </c>
      <c r="B554" t="s">
        <v>13</v>
      </c>
      <c r="C554" t="s">
        <v>32</v>
      </c>
      <c r="D554" t="s">
        <v>15</v>
      </c>
      <c r="E554" s="1">
        <v>45054</v>
      </c>
      <c r="F554" s="1">
        <v>45057</v>
      </c>
      <c r="G554">
        <v>12.6</v>
      </c>
      <c r="H554">
        <v>32.18</v>
      </c>
      <c r="I554" t="s">
        <v>16</v>
      </c>
      <c r="J554">
        <v>121</v>
      </c>
      <c r="K554">
        <v>3</v>
      </c>
    </row>
    <row r="555" spans="1:11">
      <c r="A555" t="s">
        <v>602</v>
      </c>
      <c r="B555" t="s">
        <v>57</v>
      </c>
      <c r="C555" t="s">
        <v>18</v>
      </c>
      <c r="D555" t="s">
        <v>19</v>
      </c>
      <c r="E555" s="1">
        <v>45251</v>
      </c>
      <c r="F555" s="1">
        <v>45260</v>
      </c>
      <c r="G555">
        <v>17.5</v>
      </c>
      <c r="H555">
        <v>402.56</v>
      </c>
      <c r="I555" t="s">
        <v>16</v>
      </c>
      <c r="J555">
        <v>2146</v>
      </c>
      <c r="K555">
        <v>9</v>
      </c>
    </row>
    <row r="556" spans="1:11">
      <c r="A556" t="s">
        <v>603</v>
      </c>
      <c r="B556" t="s">
        <v>21</v>
      </c>
      <c r="C556" t="s">
        <v>47</v>
      </c>
      <c r="D556" t="s">
        <v>43</v>
      </c>
      <c r="E556" s="1">
        <v>45257</v>
      </c>
      <c r="F556" s="1">
        <v>45258</v>
      </c>
      <c r="G556">
        <v>33</v>
      </c>
      <c r="H556">
        <v>73.97</v>
      </c>
      <c r="I556" t="s">
        <v>16</v>
      </c>
      <c r="J556">
        <v>223</v>
      </c>
      <c r="K556">
        <v>1</v>
      </c>
    </row>
    <row r="557" spans="1:11">
      <c r="A557" t="s">
        <v>604</v>
      </c>
      <c r="B557" t="s">
        <v>13</v>
      </c>
      <c r="C557" t="s">
        <v>47</v>
      </c>
      <c r="D557" t="s">
        <v>60</v>
      </c>
      <c r="E557" s="1">
        <v>45122</v>
      </c>
      <c r="F557" s="1">
        <v>45125</v>
      </c>
      <c r="G557">
        <v>69.3</v>
      </c>
      <c r="H557">
        <v>244.01</v>
      </c>
      <c r="I557" t="s">
        <v>63</v>
      </c>
      <c r="J557">
        <v>1337</v>
      </c>
      <c r="K557">
        <v>3</v>
      </c>
    </row>
    <row r="558" spans="1:11">
      <c r="A558" t="s">
        <v>605</v>
      </c>
      <c r="B558" t="s">
        <v>40</v>
      </c>
      <c r="C558" t="s">
        <v>58</v>
      </c>
      <c r="D558" t="s">
        <v>19</v>
      </c>
      <c r="E558" s="1">
        <v>45184</v>
      </c>
      <c r="F558" s="1">
        <v>45189</v>
      </c>
      <c r="G558">
        <v>10.8</v>
      </c>
      <c r="H558">
        <v>200.6</v>
      </c>
      <c r="I558" t="s">
        <v>16</v>
      </c>
      <c r="J558">
        <v>1255</v>
      </c>
      <c r="K558">
        <v>5</v>
      </c>
    </row>
    <row r="559" spans="1:11">
      <c r="A559" t="s">
        <v>606</v>
      </c>
      <c r="B559" t="s">
        <v>24</v>
      </c>
      <c r="C559" t="s">
        <v>53</v>
      </c>
      <c r="D559" t="s">
        <v>60</v>
      </c>
      <c r="E559" s="1">
        <v>45159</v>
      </c>
      <c r="F559" s="1">
        <v>45163</v>
      </c>
      <c r="G559">
        <v>12.9</v>
      </c>
      <c r="H559">
        <v>101.44</v>
      </c>
      <c r="I559" t="s">
        <v>63</v>
      </c>
      <c r="J559">
        <v>825</v>
      </c>
      <c r="K559">
        <v>4</v>
      </c>
    </row>
    <row r="560" spans="1:11">
      <c r="A560" t="s">
        <v>607</v>
      </c>
      <c r="B560" t="s">
        <v>28</v>
      </c>
      <c r="C560" t="s">
        <v>58</v>
      </c>
      <c r="D560" t="s">
        <v>60</v>
      </c>
      <c r="E560" s="1">
        <v>45179</v>
      </c>
      <c r="F560" s="1">
        <v>45183</v>
      </c>
      <c r="G560">
        <v>23.6</v>
      </c>
      <c r="H560">
        <v>229.43</v>
      </c>
      <c r="I560" t="s">
        <v>16</v>
      </c>
      <c r="J560">
        <v>1852</v>
      </c>
      <c r="K560">
        <v>4</v>
      </c>
    </row>
    <row r="561" spans="1:11">
      <c r="A561" t="s">
        <v>608</v>
      </c>
      <c r="B561" t="s">
        <v>28</v>
      </c>
      <c r="C561" t="s">
        <v>29</v>
      </c>
      <c r="D561" t="s">
        <v>33</v>
      </c>
      <c r="E561" s="1">
        <v>45281</v>
      </c>
      <c r="F561" s="1">
        <v>45285</v>
      </c>
      <c r="G561">
        <v>41</v>
      </c>
      <c r="H561">
        <v>324.91000000000003</v>
      </c>
      <c r="I561" t="s">
        <v>68</v>
      </c>
      <c r="J561">
        <v>1764</v>
      </c>
      <c r="K561">
        <v>4</v>
      </c>
    </row>
    <row r="562" spans="1:11">
      <c r="A562" t="s">
        <v>609</v>
      </c>
      <c r="B562" t="s">
        <v>13</v>
      </c>
      <c r="C562" t="s">
        <v>53</v>
      </c>
      <c r="D562" t="s">
        <v>38</v>
      </c>
      <c r="E562" s="1">
        <v>45123</v>
      </c>
      <c r="F562" s="1">
        <v>45126</v>
      </c>
      <c r="G562">
        <v>19.5</v>
      </c>
      <c r="H562">
        <v>114.24</v>
      </c>
      <c r="I562" t="s">
        <v>16</v>
      </c>
      <c r="J562">
        <v>713</v>
      </c>
      <c r="K562">
        <v>3</v>
      </c>
    </row>
    <row r="563" spans="1:11">
      <c r="A563" t="s">
        <v>610</v>
      </c>
      <c r="B563" t="s">
        <v>21</v>
      </c>
      <c r="C563" t="s">
        <v>45</v>
      </c>
      <c r="D563" t="s">
        <v>15</v>
      </c>
      <c r="E563" s="1">
        <v>45009</v>
      </c>
      <c r="F563" s="1">
        <v>45014</v>
      </c>
      <c r="G563">
        <v>17.8</v>
      </c>
      <c r="H563">
        <v>235.64</v>
      </c>
      <c r="I563" t="s">
        <v>16</v>
      </c>
      <c r="J563">
        <v>1898</v>
      </c>
      <c r="K563">
        <v>5</v>
      </c>
    </row>
    <row r="564" spans="1:11">
      <c r="A564" t="s">
        <v>611</v>
      </c>
      <c r="B564" t="s">
        <v>36</v>
      </c>
      <c r="C564" t="s">
        <v>14</v>
      </c>
      <c r="D564" t="s">
        <v>43</v>
      </c>
      <c r="E564" s="1">
        <v>44981</v>
      </c>
      <c r="F564" s="1">
        <v>44984</v>
      </c>
      <c r="G564">
        <v>67.5</v>
      </c>
      <c r="H564">
        <v>220.77</v>
      </c>
      <c r="I564" t="s">
        <v>16</v>
      </c>
      <c r="J564">
        <v>1083</v>
      </c>
      <c r="K564">
        <v>3</v>
      </c>
    </row>
    <row r="565" spans="1:11">
      <c r="A565" t="s">
        <v>612</v>
      </c>
      <c r="B565" t="s">
        <v>57</v>
      </c>
      <c r="C565" t="s">
        <v>37</v>
      </c>
      <c r="D565" t="s">
        <v>33</v>
      </c>
      <c r="E565" s="1">
        <v>45269</v>
      </c>
      <c r="F565" s="1">
        <v>45273</v>
      </c>
      <c r="G565">
        <v>17.7</v>
      </c>
      <c r="H565">
        <v>320.45</v>
      </c>
      <c r="I565" t="s">
        <v>16</v>
      </c>
      <c r="J565">
        <v>1681</v>
      </c>
      <c r="K565">
        <v>4</v>
      </c>
    </row>
    <row r="566" spans="1:11">
      <c r="A566" t="s">
        <v>613</v>
      </c>
      <c r="B566" t="s">
        <v>31</v>
      </c>
      <c r="C566" t="s">
        <v>55</v>
      </c>
      <c r="D566" t="s">
        <v>60</v>
      </c>
      <c r="E566" s="1">
        <v>45249</v>
      </c>
      <c r="F566" s="1">
        <v>45252</v>
      </c>
      <c r="G566">
        <v>23.2</v>
      </c>
      <c r="H566">
        <v>208.01</v>
      </c>
      <c r="I566" t="s">
        <v>16</v>
      </c>
      <c r="J566">
        <v>1256</v>
      </c>
      <c r="K566">
        <v>3</v>
      </c>
    </row>
    <row r="567" spans="1:11">
      <c r="A567" t="s">
        <v>614</v>
      </c>
      <c r="B567" t="s">
        <v>24</v>
      </c>
      <c r="C567" t="s">
        <v>71</v>
      </c>
      <c r="D567" t="s">
        <v>15</v>
      </c>
      <c r="E567" s="1">
        <v>45092</v>
      </c>
      <c r="F567" s="1">
        <v>45099</v>
      </c>
      <c r="G567">
        <v>17.2</v>
      </c>
      <c r="H567">
        <v>251.79</v>
      </c>
      <c r="I567" t="s">
        <v>16</v>
      </c>
      <c r="J567">
        <v>1984</v>
      </c>
      <c r="K567">
        <v>7</v>
      </c>
    </row>
    <row r="568" spans="1:11">
      <c r="A568" t="s">
        <v>615</v>
      </c>
      <c r="B568" t="s">
        <v>13</v>
      </c>
      <c r="C568" t="s">
        <v>53</v>
      </c>
      <c r="D568" t="s">
        <v>60</v>
      </c>
      <c r="E568" s="1">
        <v>45259</v>
      </c>
      <c r="F568" s="1">
        <v>45267</v>
      </c>
      <c r="G568">
        <v>61.6</v>
      </c>
      <c r="H568">
        <v>384.1</v>
      </c>
      <c r="I568" t="s">
        <v>16</v>
      </c>
      <c r="J568">
        <v>2445</v>
      </c>
      <c r="K568">
        <v>8</v>
      </c>
    </row>
    <row r="569" spans="1:11">
      <c r="A569" t="s">
        <v>616</v>
      </c>
      <c r="B569" t="s">
        <v>36</v>
      </c>
      <c r="C569" t="s">
        <v>55</v>
      </c>
      <c r="D569" t="s">
        <v>26</v>
      </c>
      <c r="E569" s="1">
        <v>45120</v>
      </c>
      <c r="F569" s="1">
        <v>45124</v>
      </c>
      <c r="G569">
        <v>25.3</v>
      </c>
      <c r="H569">
        <v>191.72</v>
      </c>
      <c r="I569" t="s">
        <v>16</v>
      </c>
      <c r="J569">
        <v>1350</v>
      </c>
      <c r="K569">
        <v>4</v>
      </c>
    </row>
    <row r="570" spans="1:11">
      <c r="A570" t="s">
        <v>617</v>
      </c>
      <c r="B570" t="s">
        <v>21</v>
      </c>
      <c r="C570" t="s">
        <v>22</v>
      </c>
      <c r="D570" t="s">
        <v>43</v>
      </c>
      <c r="E570" s="1">
        <v>44998</v>
      </c>
      <c r="F570" s="1">
        <v>45008</v>
      </c>
      <c r="G570">
        <v>45.8</v>
      </c>
      <c r="H570">
        <v>313.91000000000003</v>
      </c>
      <c r="I570" t="s">
        <v>48</v>
      </c>
      <c r="J570">
        <v>2318</v>
      </c>
      <c r="K570">
        <v>7</v>
      </c>
    </row>
    <row r="571" spans="1:11">
      <c r="A571" t="s">
        <v>618</v>
      </c>
      <c r="B571" t="s">
        <v>21</v>
      </c>
      <c r="C571" t="s">
        <v>55</v>
      </c>
      <c r="D571" t="s">
        <v>26</v>
      </c>
      <c r="E571" s="1">
        <v>45035</v>
      </c>
      <c r="F571" s="1">
        <v>45042</v>
      </c>
      <c r="G571">
        <v>28.4</v>
      </c>
      <c r="H571">
        <v>304.14999999999998</v>
      </c>
      <c r="I571" t="s">
        <v>16</v>
      </c>
      <c r="J571">
        <v>2243</v>
      </c>
      <c r="K571">
        <v>7</v>
      </c>
    </row>
    <row r="572" spans="1:11">
      <c r="A572" t="s">
        <v>619</v>
      </c>
      <c r="B572" t="s">
        <v>13</v>
      </c>
      <c r="C572" t="s">
        <v>45</v>
      </c>
      <c r="D572" t="s">
        <v>15</v>
      </c>
      <c r="E572" s="1">
        <v>45131</v>
      </c>
      <c r="F572" s="1">
        <v>45138</v>
      </c>
      <c r="G572">
        <v>31.7</v>
      </c>
      <c r="H572">
        <v>333.27</v>
      </c>
      <c r="I572" t="s">
        <v>16</v>
      </c>
      <c r="J572">
        <v>2201</v>
      </c>
      <c r="K572">
        <v>7</v>
      </c>
    </row>
    <row r="573" spans="1:11">
      <c r="A573" t="s">
        <v>620</v>
      </c>
      <c r="B573" t="s">
        <v>13</v>
      </c>
      <c r="C573" t="s">
        <v>47</v>
      </c>
      <c r="D573" t="s">
        <v>19</v>
      </c>
      <c r="E573" s="1">
        <v>45045</v>
      </c>
      <c r="F573" s="1">
        <v>45052</v>
      </c>
      <c r="G573">
        <v>33.700000000000003</v>
      </c>
      <c r="H573">
        <v>363.72</v>
      </c>
      <c r="I573" t="s">
        <v>16</v>
      </c>
      <c r="J573">
        <v>2255</v>
      </c>
      <c r="K573">
        <v>7</v>
      </c>
    </row>
    <row r="574" spans="1:11">
      <c r="A574" t="s">
        <v>621</v>
      </c>
      <c r="B574" t="s">
        <v>28</v>
      </c>
      <c r="C574" t="s">
        <v>18</v>
      </c>
      <c r="D574" t="s">
        <v>15</v>
      </c>
      <c r="E574" s="1">
        <v>45059</v>
      </c>
      <c r="F574" s="1">
        <v>45068</v>
      </c>
      <c r="G574">
        <v>58.4</v>
      </c>
      <c r="H574">
        <v>196.37</v>
      </c>
      <c r="I574" t="s">
        <v>16</v>
      </c>
      <c r="J574">
        <v>962</v>
      </c>
      <c r="K574">
        <v>9</v>
      </c>
    </row>
    <row r="575" spans="1:11">
      <c r="A575" t="s">
        <v>622</v>
      </c>
      <c r="B575" t="s">
        <v>28</v>
      </c>
      <c r="C575" t="s">
        <v>55</v>
      </c>
      <c r="D575" t="s">
        <v>43</v>
      </c>
      <c r="E575" s="1">
        <v>45107</v>
      </c>
      <c r="F575" s="1">
        <v>45111</v>
      </c>
      <c r="G575">
        <v>28.7</v>
      </c>
      <c r="H575">
        <v>255.28</v>
      </c>
      <c r="I575" t="s">
        <v>63</v>
      </c>
      <c r="J575">
        <v>1681</v>
      </c>
      <c r="K575">
        <v>4</v>
      </c>
    </row>
    <row r="576" spans="1:11">
      <c r="A576" t="s">
        <v>623</v>
      </c>
      <c r="B576" t="s">
        <v>36</v>
      </c>
      <c r="C576" t="s">
        <v>41</v>
      </c>
      <c r="D576" t="s">
        <v>43</v>
      </c>
      <c r="E576" s="1">
        <v>45062</v>
      </c>
      <c r="F576" s="1">
        <v>45063</v>
      </c>
      <c r="G576">
        <v>37.4</v>
      </c>
      <c r="H576">
        <v>72.510000000000005</v>
      </c>
      <c r="I576" t="s">
        <v>16</v>
      </c>
      <c r="J576">
        <v>283</v>
      </c>
      <c r="K576">
        <v>1</v>
      </c>
    </row>
    <row r="577" spans="1:11">
      <c r="A577" t="s">
        <v>624</v>
      </c>
      <c r="B577" t="s">
        <v>28</v>
      </c>
      <c r="C577" t="s">
        <v>47</v>
      </c>
      <c r="D577" t="s">
        <v>60</v>
      </c>
      <c r="E577" s="1">
        <v>45166</v>
      </c>
      <c r="F577" s="1">
        <v>45169</v>
      </c>
      <c r="G577">
        <v>26.9</v>
      </c>
      <c r="H577">
        <v>103.85</v>
      </c>
      <c r="I577" t="s">
        <v>16</v>
      </c>
      <c r="J577">
        <v>640</v>
      </c>
      <c r="K577">
        <v>3</v>
      </c>
    </row>
    <row r="578" spans="1:11">
      <c r="A578" t="s">
        <v>625</v>
      </c>
      <c r="B578" t="s">
        <v>36</v>
      </c>
      <c r="C578" t="s">
        <v>53</v>
      </c>
      <c r="D578" t="s">
        <v>26</v>
      </c>
      <c r="E578" s="1">
        <v>45217</v>
      </c>
      <c r="F578" s="1">
        <v>45223</v>
      </c>
      <c r="G578">
        <v>27.8</v>
      </c>
      <c r="H578">
        <v>294.98</v>
      </c>
      <c r="I578" t="s">
        <v>16</v>
      </c>
      <c r="J578">
        <v>2409</v>
      </c>
      <c r="K578">
        <v>6</v>
      </c>
    </row>
    <row r="579" spans="1:11">
      <c r="A579" t="s">
        <v>626</v>
      </c>
      <c r="B579" t="s">
        <v>31</v>
      </c>
      <c r="C579" t="s">
        <v>14</v>
      </c>
      <c r="D579" t="s">
        <v>33</v>
      </c>
      <c r="E579" s="1">
        <v>45248</v>
      </c>
      <c r="F579" s="1">
        <v>45252</v>
      </c>
      <c r="G579">
        <v>23.3</v>
      </c>
      <c r="H579">
        <v>228.28</v>
      </c>
      <c r="I579" t="s">
        <v>61</v>
      </c>
      <c r="J579">
        <v>1203</v>
      </c>
      <c r="K579">
        <v>4</v>
      </c>
    </row>
    <row r="580" spans="1:11">
      <c r="A580" t="s">
        <v>627</v>
      </c>
      <c r="B580" t="s">
        <v>36</v>
      </c>
      <c r="C580" t="s">
        <v>18</v>
      </c>
      <c r="D580" t="s">
        <v>38</v>
      </c>
      <c r="E580" s="1">
        <v>45019</v>
      </c>
      <c r="F580" s="1">
        <v>45020</v>
      </c>
      <c r="G580">
        <v>17.899999999999999</v>
      </c>
      <c r="H580">
        <v>45.26</v>
      </c>
      <c r="I580" t="s">
        <v>16</v>
      </c>
      <c r="J580">
        <v>231</v>
      </c>
      <c r="K580">
        <v>1</v>
      </c>
    </row>
    <row r="581" spans="1:11">
      <c r="A581" t="s">
        <v>628</v>
      </c>
      <c r="B581" t="s">
        <v>31</v>
      </c>
      <c r="C581" t="s">
        <v>55</v>
      </c>
      <c r="D581" t="s">
        <v>43</v>
      </c>
      <c r="E581" s="1">
        <v>45181</v>
      </c>
      <c r="F581" s="1">
        <v>45195</v>
      </c>
      <c r="G581">
        <v>32.5</v>
      </c>
      <c r="H581">
        <v>308.35000000000002</v>
      </c>
      <c r="I581" t="s">
        <v>48</v>
      </c>
      <c r="J581">
        <v>2136</v>
      </c>
      <c r="K581">
        <v>5</v>
      </c>
    </row>
    <row r="582" spans="1:11">
      <c r="A582" t="s">
        <v>629</v>
      </c>
      <c r="B582" t="s">
        <v>50</v>
      </c>
      <c r="C582" t="s">
        <v>37</v>
      </c>
      <c r="D582" t="s">
        <v>26</v>
      </c>
      <c r="E582" s="1">
        <v>44989</v>
      </c>
      <c r="F582" s="1">
        <v>44993</v>
      </c>
      <c r="G582">
        <v>19.8</v>
      </c>
      <c r="H582">
        <v>265.39999999999998</v>
      </c>
      <c r="I582" t="s">
        <v>16</v>
      </c>
      <c r="J582">
        <v>1886</v>
      </c>
      <c r="K582">
        <v>4</v>
      </c>
    </row>
    <row r="583" spans="1:11">
      <c r="A583" t="s">
        <v>630</v>
      </c>
      <c r="B583" t="s">
        <v>13</v>
      </c>
      <c r="C583" t="s">
        <v>45</v>
      </c>
      <c r="D583" t="s">
        <v>33</v>
      </c>
      <c r="E583" s="1">
        <v>44946</v>
      </c>
      <c r="F583" s="1">
        <v>44956</v>
      </c>
      <c r="G583">
        <v>11.9</v>
      </c>
      <c r="H583">
        <v>287.05</v>
      </c>
      <c r="I583" t="s">
        <v>16</v>
      </c>
      <c r="J583">
        <v>1896</v>
      </c>
      <c r="K583">
        <v>10</v>
      </c>
    </row>
    <row r="584" spans="1:11">
      <c r="A584" t="s">
        <v>631</v>
      </c>
      <c r="B584" t="s">
        <v>36</v>
      </c>
      <c r="C584" t="s">
        <v>58</v>
      </c>
      <c r="D584" t="s">
        <v>43</v>
      </c>
      <c r="E584" s="1">
        <v>45210</v>
      </c>
      <c r="F584" s="1">
        <v>45215</v>
      </c>
      <c r="G584">
        <v>108.6</v>
      </c>
      <c r="H584">
        <v>221.52</v>
      </c>
      <c r="I584" t="s">
        <v>16</v>
      </c>
      <c r="J584">
        <v>1869</v>
      </c>
      <c r="K584">
        <v>5</v>
      </c>
    </row>
    <row r="585" spans="1:11">
      <c r="A585" t="s">
        <v>632</v>
      </c>
      <c r="B585" t="s">
        <v>36</v>
      </c>
      <c r="C585" t="s">
        <v>14</v>
      </c>
      <c r="D585" t="s">
        <v>33</v>
      </c>
      <c r="E585" s="1">
        <v>45081</v>
      </c>
      <c r="F585" s="1">
        <v>45084</v>
      </c>
      <c r="G585">
        <v>15.9</v>
      </c>
      <c r="H585">
        <v>200.58</v>
      </c>
      <c r="I585" t="s">
        <v>16</v>
      </c>
      <c r="J585">
        <v>1412</v>
      </c>
      <c r="K585">
        <v>3</v>
      </c>
    </row>
    <row r="586" spans="1:11">
      <c r="A586" t="s">
        <v>633</v>
      </c>
      <c r="B586" t="s">
        <v>31</v>
      </c>
      <c r="C586" t="s">
        <v>45</v>
      </c>
      <c r="D586" t="s">
        <v>19</v>
      </c>
      <c r="E586" s="1">
        <v>45081</v>
      </c>
      <c r="F586" s="1">
        <v>45084</v>
      </c>
      <c r="G586">
        <v>19.8</v>
      </c>
      <c r="H586">
        <v>44</v>
      </c>
      <c r="I586" t="s">
        <v>16</v>
      </c>
      <c r="J586">
        <v>110</v>
      </c>
      <c r="K586">
        <v>3</v>
      </c>
    </row>
    <row r="587" spans="1:11">
      <c r="A587" t="s">
        <v>634</v>
      </c>
      <c r="B587" t="s">
        <v>40</v>
      </c>
      <c r="C587" t="s">
        <v>55</v>
      </c>
      <c r="D587" t="s">
        <v>43</v>
      </c>
      <c r="E587" s="1">
        <v>44962</v>
      </c>
      <c r="F587" s="1">
        <v>44964</v>
      </c>
      <c r="G587">
        <v>14.6</v>
      </c>
      <c r="H587">
        <v>107.88</v>
      </c>
      <c r="I587" t="s">
        <v>16</v>
      </c>
      <c r="J587">
        <v>682</v>
      </c>
      <c r="K587">
        <v>2</v>
      </c>
    </row>
    <row r="588" spans="1:11">
      <c r="A588" t="s">
        <v>635</v>
      </c>
      <c r="B588" t="s">
        <v>57</v>
      </c>
      <c r="C588" t="s">
        <v>14</v>
      </c>
      <c r="D588" t="s">
        <v>26</v>
      </c>
      <c r="E588" s="1">
        <v>44986</v>
      </c>
      <c r="F588" s="1">
        <v>44992</v>
      </c>
      <c r="G588">
        <v>46.5</v>
      </c>
      <c r="H588">
        <v>334.7</v>
      </c>
      <c r="I588" t="s">
        <v>16</v>
      </c>
      <c r="J588">
        <v>2264</v>
      </c>
      <c r="K588">
        <v>6</v>
      </c>
    </row>
    <row r="589" spans="1:11">
      <c r="A589" t="s">
        <v>636</v>
      </c>
      <c r="B589" t="s">
        <v>36</v>
      </c>
      <c r="C589" t="s">
        <v>47</v>
      </c>
      <c r="D589" t="s">
        <v>15</v>
      </c>
      <c r="E589" s="1">
        <v>45245</v>
      </c>
      <c r="F589" s="1">
        <v>45248</v>
      </c>
      <c r="G589">
        <v>43.9</v>
      </c>
      <c r="H589">
        <v>133.41</v>
      </c>
      <c r="I589" t="s">
        <v>16</v>
      </c>
      <c r="J589">
        <v>413</v>
      </c>
      <c r="K589">
        <v>3</v>
      </c>
    </row>
    <row r="590" spans="1:11">
      <c r="A590" t="s">
        <v>637</v>
      </c>
      <c r="B590" t="s">
        <v>13</v>
      </c>
      <c r="C590" t="s">
        <v>25</v>
      </c>
      <c r="D590" t="s">
        <v>38</v>
      </c>
      <c r="E590" s="1">
        <v>45072</v>
      </c>
      <c r="F590" s="1">
        <v>45086</v>
      </c>
      <c r="G590">
        <v>17.5</v>
      </c>
      <c r="H590">
        <v>144.25</v>
      </c>
      <c r="I590" t="s">
        <v>48</v>
      </c>
      <c r="J590">
        <v>1003</v>
      </c>
      <c r="K590">
        <v>3</v>
      </c>
    </row>
    <row r="591" spans="1:11">
      <c r="A591" t="s">
        <v>638</v>
      </c>
      <c r="B591" t="s">
        <v>28</v>
      </c>
      <c r="C591" t="s">
        <v>22</v>
      </c>
      <c r="D591" t="s">
        <v>26</v>
      </c>
      <c r="E591" s="1">
        <v>45136</v>
      </c>
      <c r="F591" s="1">
        <v>45139</v>
      </c>
      <c r="G591">
        <v>82.9</v>
      </c>
      <c r="H591">
        <v>189.53</v>
      </c>
      <c r="I591" t="s">
        <v>16</v>
      </c>
      <c r="J591">
        <v>893</v>
      </c>
      <c r="K591">
        <v>3</v>
      </c>
    </row>
    <row r="592" spans="1:11">
      <c r="A592" t="s">
        <v>639</v>
      </c>
      <c r="B592" t="s">
        <v>40</v>
      </c>
      <c r="C592" t="s">
        <v>47</v>
      </c>
      <c r="D592" t="s">
        <v>19</v>
      </c>
      <c r="E592" s="1">
        <v>45069</v>
      </c>
      <c r="F592" s="1">
        <v>45081</v>
      </c>
      <c r="G592">
        <v>16.2</v>
      </c>
      <c r="H592">
        <v>219.44</v>
      </c>
      <c r="I592" t="s">
        <v>48</v>
      </c>
      <c r="J592">
        <v>1509</v>
      </c>
      <c r="K592">
        <v>4</v>
      </c>
    </row>
    <row r="593" spans="1:11">
      <c r="A593" t="s">
        <v>640</v>
      </c>
      <c r="B593" t="s">
        <v>24</v>
      </c>
      <c r="C593" t="s">
        <v>25</v>
      </c>
      <c r="D593" t="s">
        <v>19</v>
      </c>
      <c r="E593" s="1">
        <v>45119</v>
      </c>
      <c r="F593" s="1">
        <v>45132</v>
      </c>
      <c r="G593">
        <v>17.100000000000001</v>
      </c>
      <c r="H593">
        <v>265.04000000000002</v>
      </c>
      <c r="I593" t="s">
        <v>48</v>
      </c>
      <c r="J593">
        <v>1749</v>
      </c>
      <c r="K593">
        <v>5</v>
      </c>
    </row>
    <row r="594" spans="1:11">
      <c r="A594" t="s">
        <v>641</v>
      </c>
      <c r="B594" t="s">
        <v>13</v>
      </c>
      <c r="C594" t="s">
        <v>71</v>
      </c>
      <c r="D594" t="s">
        <v>26</v>
      </c>
      <c r="E594" s="1">
        <v>45091</v>
      </c>
      <c r="F594" s="1">
        <v>45092</v>
      </c>
      <c r="G594">
        <v>9.4</v>
      </c>
      <c r="H594">
        <v>59.03</v>
      </c>
      <c r="I594" t="s">
        <v>16</v>
      </c>
      <c r="J594">
        <v>377</v>
      </c>
      <c r="K594">
        <v>1</v>
      </c>
    </row>
    <row r="595" spans="1:11">
      <c r="A595" t="s">
        <v>642</v>
      </c>
      <c r="B595" t="s">
        <v>28</v>
      </c>
      <c r="C595" t="s">
        <v>53</v>
      </c>
      <c r="D595" t="s">
        <v>33</v>
      </c>
      <c r="E595" s="1">
        <v>45220</v>
      </c>
      <c r="F595" s="1">
        <v>45225</v>
      </c>
      <c r="G595">
        <v>15.3</v>
      </c>
      <c r="H595">
        <v>343.33</v>
      </c>
      <c r="I595" t="s">
        <v>16</v>
      </c>
      <c r="J595">
        <v>2483</v>
      </c>
      <c r="K595">
        <v>5</v>
      </c>
    </row>
    <row r="596" spans="1:11">
      <c r="A596" t="s">
        <v>643</v>
      </c>
      <c r="B596" t="s">
        <v>50</v>
      </c>
      <c r="C596" t="s">
        <v>25</v>
      </c>
      <c r="D596" t="s">
        <v>26</v>
      </c>
      <c r="E596" s="1">
        <v>44995</v>
      </c>
      <c r="F596" s="1">
        <v>45009</v>
      </c>
      <c r="G596">
        <v>17.399999999999999</v>
      </c>
      <c r="H596">
        <v>231.71</v>
      </c>
      <c r="I596" t="s">
        <v>48</v>
      </c>
      <c r="J596">
        <v>1606</v>
      </c>
      <c r="K596">
        <v>5</v>
      </c>
    </row>
    <row r="597" spans="1:11">
      <c r="A597" t="s">
        <v>644</v>
      </c>
      <c r="B597" t="s">
        <v>52</v>
      </c>
      <c r="C597" t="s">
        <v>18</v>
      </c>
      <c r="D597" t="s">
        <v>26</v>
      </c>
      <c r="E597" s="1">
        <v>45132</v>
      </c>
      <c r="F597" s="1">
        <v>45137</v>
      </c>
      <c r="G597">
        <v>11.8</v>
      </c>
      <c r="H597">
        <v>119.5</v>
      </c>
      <c r="I597" t="s">
        <v>16</v>
      </c>
      <c r="J597">
        <v>870</v>
      </c>
      <c r="K597">
        <v>5</v>
      </c>
    </row>
    <row r="598" spans="1:11">
      <c r="A598" t="s">
        <v>645</v>
      </c>
      <c r="B598" t="s">
        <v>31</v>
      </c>
      <c r="C598" t="s">
        <v>14</v>
      </c>
      <c r="D598" t="s">
        <v>15</v>
      </c>
      <c r="E598" s="1">
        <v>45268</v>
      </c>
      <c r="F598" s="1">
        <v>45273</v>
      </c>
      <c r="G598">
        <v>56.8</v>
      </c>
      <c r="H598">
        <v>315.36</v>
      </c>
      <c r="I598" t="s">
        <v>16</v>
      </c>
      <c r="J598">
        <v>1705</v>
      </c>
      <c r="K598">
        <v>5</v>
      </c>
    </row>
    <row r="599" spans="1:11">
      <c r="A599" t="s">
        <v>646</v>
      </c>
      <c r="B599" t="s">
        <v>50</v>
      </c>
      <c r="C599" t="s">
        <v>18</v>
      </c>
      <c r="D599" t="s">
        <v>15</v>
      </c>
      <c r="E599" s="1">
        <v>45096</v>
      </c>
      <c r="G599">
        <v>28.5</v>
      </c>
      <c r="H599">
        <v>77.760000000000005</v>
      </c>
      <c r="I599" t="s">
        <v>16</v>
      </c>
      <c r="J599">
        <v>290</v>
      </c>
      <c r="K599">
        <v>2</v>
      </c>
    </row>
    <row r="600" spans="1:11">
      <c r="A600" t="s">
        <v>647</v>
      </c>
      <c r="B600" t="s">
        <v>57</v>
      </c>
      <c r="C600" t="s">
        <v>29</v>
      </c>
      <c r="D600" t="s">
        <v>38</v>
      </c>
      <c r="E600" s="1">
        <v>45068</v>
      </c>
      <c r="F600" s="1">
        <v>45072</v>
      </c>
      <c r="G600">
        <v>14.6</v>
      </c>
      <c r="H600">
        <v>187.56</v>
      </c>
      <c r="I600" t="s">
        <v>16</v>
      </c>
      <c r="J600">
        <v>1525</v>
      </c>
      <c r="K600">
        <v>4</v>
      </c>
    </row>
    <row r="601" spans="1:11">
      <c r="A601" t="s">
        <v>648</v>
      </c>
      <c r="B601" t="s">
        <v>13</v>
      </c>
      <c r="C601" t="s">
        <v>53</v>
      </c>
      <c r="D601" t="s">
        <v>19</v>
      </c>
      <c r="E601" s="1">
        <v>45100</v>
      </c>
      <c r="F601" s="1">
        <v>45103</v>
      </c>
      <c r="G601">
        <v>9.9</v>
      </c>
      <c r="H601">
        <v>180.22</v>
      </c>
      <c r="I601" t="s">
        <v>16</v>
      </c>
      <c r="J601">
        <v>1178</v>
      </c>
      <c r="K601">
        <v>3</v>
      </c>
    </row>
    <row r="602" spans="1:11">
      <c r="A602" t="s">
        <v>649</v>
      </c>
      <c r="B602" t="s">
        <v>28</v>
      </c>
      <c r="C602" t="s">
        <v>22</v>
      </c>
      <c r="D602" t="s">
        <v>33</v>
      </c>
      <c r="E602" s="1">
        <v>44983</v>
      </c>
      <c r="F602" s="1">
        <v>44987</v>
      </c>
      <c r="G602">
        <v>45.7</v>
      </c>
      <c r="H602">
        <v>247.43</v>
      </c>
      <c r="I602" t="s">
        <v>16</v>
      </c>
      <c r="J602">
        <v>1612</v>
      </c>
      <c r="K602">
        <v>4</v>
      </c>
    </row>
    <row r="603" spans="1:11">
      <c r="A603" t="s">
        <v>650</v>
      </c>
      <c r="B603" t="s">
        <v>21</v>
      </c>
      <c r="C603" t="s">
        <v>32</v>
      </c>
      <c r="D603" t="s">
        <v>38</v>
      </c>
      <c r="E603" s="1">
        <v>45075</v>
      </c>
      <c r="F603" s="1">
        <v>45081</v>
      </c>
      <c r="G603">
        <v>19.899999999999999</v>
      </c>
      <c r="H603">
        <v>316.02999999999997</v>
      </c>
      <c r="I603" t="s">
        <v>16</v>
      </c>
      <c r="J603">
        <v>2488</v>
      </c>
      <c r="K603">
        <v>6</v>
      </c>
    </row>
    <row r="604" spans="1:11">
      <c r="A604" t="s">
        <v>651</v>
      </c>
      <c r="B604" t="s">
        <v>40</v>
      </c>
      <c r="C604" t="s">
        <v>29</v>
      </c>
      <c r="D604" t="s">
        <v>38</v>
      </c>
      <c r="E604" s="1">
        <v>45250</v>
      </c>
      <c r="F604" s="1">
        <v>45260</v>
      </c>
      <c r="G604">
        <v>10.5</v>
      </c>
      <c r="H604">
        <v>325.38</v>
      </c>
      <c r="I604" t="s">
        <v>16</v>
      </c>
      <c r="J604">
        <v>2144</v>
      </c>
      <c r="K604">
        <v>10</v>
      </c>
    </row>
    <row r="605" spans="1:11">
      <c r="A605" t="s">
        <v>652</v>
      </c>
      <c r="B605" t="s">
        <v>52</v>
      </c>
      <c r="C605" t="s">
        <v>29</v>
      </c>
      <c r="D605" t="s">
        <v>33</v>
      </c>
      <c r="E605" s="1">
        <v>45080</v>
      </c>
      <c r="F605" s="1">
        <v>45083</v>
      </c>
      <c r="G605">
        <v>4.2</v>
      </c>
      <c r="H605">
        <v>45.59</v>
      </c>
      <c r="I605" t="s">
        <v>16</v>
      </c>
      <c r="J605">
        <v>341</v>
      </c>
      <c r="K605">
        <v>3</v>
      </c>
    </row>
    <row r="606" spans="1:11">
      <c r="A606" t="s">
        <v>653</v>
      </c>
      <c r="B606" t="s">
        <v>24</v>
      </c>
      <c r="C606" t="s">
        <v>47</v>
      </c>
      <c r="D606" t="s">
        <v>43</v>
      </c>
      <c r="E606" s="1">
        <v>44974</v>
      </c>
      <c r="F606" s="1">
        <v>44978</v>
      </c>
      <c r="G606">
        <v>17.899999999999999</v>
      </c>
      <c r="H606">
        <v>77.709999999999994</v>
      </c>
      <c r="I606" t="s">
        <v>16</v>
      </c>
      <c r="J606">
        <v>484</v>
      </c>
      <c r="K606">
        <v>4</v>
      </c>
    </row>
    <row r="607" spans="1:11">
      <c r="A607" t="s">
        <v>654</v>
      </c>
      <c r="B607" t="s">
        <v>50</v>
      </c>
      <c r="C607" t="s">
        <v>41</v>
      </c>
      <c r="D607" t="s">
        <v>19</v>
      </c>
      <c r="E607" s="1">
        <v>45135</v>
      </c>
      <c r="F607" s="1">
        <v>45140</v>
      </c>
      <c r="G607">
        <v>6.9</v>
      </c>
      <c r="H607">
        <v>218.92</v>
      </c>
      <c r="I607" t="s">
        <v>16</v>
      </c>
      <c r="J607">
        <v>1461</v>
      </c>
      <c r="K607">
        <v>5</v>
      </c>
    </row>
    <row r="608" spans="1:11">
      <c r="A608" t="s">
        <v>655</v>
      </c>
      <c r="B608" t="s">
        <v>21</v>
      </c>
      <c r="C608" t="s">
        <v>45</v>
      </c>
      <c r="D608" t="s">
        <v>38</v>
      </c>
      <c r="E608" s="1">
        <v>45278</v>
      </c>
      <c r="F608" s="1">
        <v>45283</v>
      </c>
      <c r="G608">
        <v>29.7</v>
      </c>
      <c r="H608">
        <v>149.52000000000001</v>
      </c>
      <c r="I608" t="s">
        <v>16</v>
      </c>
      <c r="J608">
        <v>766</v>
      </c>
      <c r="K608">
        <v>5</v>
      </c>
    </row>
    <row r="609" spans="1:11">
      <c r="A609" t="s">
        <v>656</v>
      </c>
      <c r="B609" t="s">
        <v>31</v>
      </c>
      <c r="C609" t="s">
        <v>29</v>
      </c>
      <c r="D609" t="s">
        <v>33</v>
      </c>
      <c r="E609" s="1">
        <v>45082</v>
      </c>
      <c r="F609" s="1">
        <v>45087</v>
      </c>
      <c r="G609">
        <v>11.4</v>
      </c>
      <c r="H609">
        <v>179.35</v>
      </c>
      <c r="I609" t="s">
        <v>16</v>
      </c>
      <c r="J609">
        <v>1151</v>
      </c>
      <c r="K609">
        <v>5</v>
      </c>
    </row>
    <row r="610" spans="1:11">
      <c r="A610" t="s">
        <v>657</v>
      </c>
      <c r="B610" t="s">
        <v>13</v>
      </c>
      <c r="C610" t="s">
        <v>14</v>
      </c>
      <c r="D610" t="s">
        <v>43</v>
      </c>
      <c r="E610" s="1">
        <v>45133</v>
      </c>
      <c r="F610" s="1">
        <v>45135</v>
      </c>
      <c r="G610">
        <v>11</v>
      </c>
      <c r="H610">
        <v>59.43</v>
      </c>
      <c r="I610" t="s">
        <v>16</v>
      </c>
      <c r="J610">
        <v>412</v>
      </c>
      <c r="K610">
        <v>2</v>
      </c>
    </row>
    <row r="611" spans="1:11">
      <c r="A611" t="s">
        <v>658</v>
      </c>
      <c r="B611" t="s">
        <v>13</v>
      </c>
      <c r="C611" t="s">
        <v>29</v>
      </c>
      <c r="D611" t="s">
        <v>38</v>
      </c>
      <c r="E611" s="1">
        <v>44965</v>
      </c>
      <c r="F611" s="1">
        <v>44969</v>
      </c>
      <c r="G611">
        <v>19.7</v>
      </c>
      <c r="H611">
        <v>254.01</v>
      </c>
      <c r="I611" t="s">
        <v>16</v>
      </c>
      <c r="J611">
        <v>1858</v>
      </c>
      <c r="K611">
        <v>4</v>
      </c>
    </row>
    <row r="612" spans="1:11">
      <c r="A612" t="s">
        <v>659</v>
      </c>
      <c r="B612" t="s">
        <v>40</v>
      </c>
      <c r="C612" t="s">
        <v>14</v>
      </c>
      <c r="D612" t="s">
        <v>43</v>
      </c>
      <c r="E612" s="1">
        <v>45217</v>
      </c>
      <c r="F612" s="1">
        <v>45233</v>
      </c>
      <c r="G612">
        <v>24.2</v>
      </c>
      <c r="H612">
        <v>284.17</v>
      </c>
      <c r="I612" t="s">
        <v>48</v>
      </c>
      <c r="J612">
        <v>2188</v>
      </c>
      <c r="K612">
        <v>5</v>
      </c>
    </row>
    <row r="613" spans="1:11">
      <c r="A613" t="s">
        <v>660</v>
      </c>
      <c r="B613" t="s">
        <v>40</v>
      </c>
      <c r="C613" t="s">
        <v>29</v>
      </c>
      <c r="D613" t="s">
        <v>33</v>
      </c>
      <c r="E613" s="1">
        <v>45176</v>
      </c>
      <c r="F613" s="1">
        <v>45179</v>
      </c>
      <c r="G613">
        <v>58.1</v>
      </c>
      <c r="H613">
        <v>217.03</v>
      </c>
      <c r="I613" t="s">
        <v>16</v>
      </c>
      <c r="J613">
        <v>1113</v>
      </c>
      <c r="K613">
        <v>3</v>
      </c>
    </row>
    <row r="614" spans="1:11">
      <c r="A614" t="s">
        <v>661</v>
      </c>
      <c r="B614" t="s">
        <v>40</v>
      </c>
      <c r="C614" t="s">
        <v>25</v>
      </c>
      <c r="D614" t="s">
        <v>33</v>
      </c>
      <c r="E614" s="1">
        <v>45241</v>
      </c>
      <c r="F614" s="1">
        <v>45246</v>
      </c>
      <c r="G614">
        <v>0.3</v>
      </c>
      <c r="H614">
        <v>333.92</v>
      </c>
      <c r="I614" t="s">
        <v>16</v>
      </c>
      <c r="J614">
        <v>1775</v>
      </c>
      <c r="K614">
        <v>5</v>
      </c>
    </row>
    <row r="615" spans="1:11">
      <c r="A615" t="s">
        <v>662</v>
      </c>
      <c r="B615" t="s">
        <v>57</v>
      </c>
      <c r="C615" t="s">
        <v>32</v>
      </c>
      <c r="D615" t="s">
        <v>38</v>
      </c>
      <c r="E615" s="1">
        <v>45225</v>
      </c>
      <c r="F615" s="1">
        <v>45229</v>
      </c>
      <c r="G615">
        <v>39</v>
      </c>
      <c r="H615">
        <v>61.95</v>
      </c>
      <c r="I615" t="s">
        <v>16</v>
      </c>
      <c r="J615">
        <v>109</v>
      </c>
      <c r="K615">
        <v>4</v>
      </c>
    </row>
    <row r="616" spans="1:11">
      <c r="A616" t="s">
        <v>663</v>
      </c>
      <c r="B616" t="s">
        <v>36</v>
      </c>
      <c r="C616" t="s">
        <v>82</v>
      </c>
      <c r="D616" t="s">
        <v>15</v>
      </c>
      <c r="E616" s="1">
        <v>45194</v>
      </c>
      <c r="F616" s="1">
        <v>45198</v>
      </c>
      <c r="G616">
        <v>16.5</v>
      </c>
      <c r="H616">
        <v>143.91</v>
      </c>
      <c r="I616" t="s">
        <v>16</v>
      </c>
      <c r="J616">
        <v>1000</v>
      </c>
      <c r="K616">
        <v>4</v>
      </c>
    </row>
    <row r="617" spans="1:11">
      <c r="A617" t="s">
        <v>664</v>
      </c>
      <c r="B617" t="s">
        <v>31</v>
      </c>
      <c r="C617" t="s">
        <v>37</v>
      </c>
      <c r="D617" t="s">
        <v>15</v>
      </c>
      <c r="E617" s="1">
        <v>45032</v>
      </c>
      <c r="F617" s="1">
        <v>45038</v>
      </c>
      <c r="G617">
        <v>12.9</v>
      </c>
      <c r="H617">
        <v>56.83</v>
      </c>
      <c r="I617" t="s">
        <v>48</v>
      </c>
      <c r="J617">
        <v>354</v>
      </c>
      <c r="K617">
        <v>1</v>
      </c>
    </row>
    <row r="618" spans="1:11">
      <c r="A618" t="s">
        <v>665</v>
      </c>
      <c r="B618" t="s">
        <v>31</v>
      </c>
      <c r="C618" t="s">
        <v>55</v>
      </c>
      <c r="D618" t="s">
        <v>33</v>
      </c>
      <c r="E618" s="1">
        <v>45040</v>
      </c>
      <c r="F618" s="1">
        <v>45042</v>
      </c>
      <c r="G618">
        <v>11.5</v>
      </c>
      <c r="H618">
        <v>114.38</v>
      </c>
      <c r="I618" t="s">
        <v>16</v>
      </c>
      <c r="J618">
        <v>752</v>
      </c>
      <c r="K618">
        <v>2</v>
      </c>
    </row>
    <row r="619" spans="1:11">
      <c r="A619" t="s">
        <v>666</v>
      </c>
      <c r="B619" t="s">
        <v>31</v>
      </c>
      <c r="C619" t="s">
        <v>82</v>
      </c>
      <c r="D619" t="s">
        <v>38</v>
      </c>
      <c r="E619" s="1">
        <v>45195</v>
      </c>
      <c r="F619" s="1">
        <v>45201</v>
      </c>
      <c r="G619">
        <v>37.700000000000003</v>
      </c>
      <c r="H619">
        <v>286.39999999999998</v>
      </c>
      <c r="I619" t="s">
        <v>16</v>
      </c>
      <c r="J619">
        <v>2253</v>
      </c>
      <c r="K619">
        <v>6</v>
      </c>
    </row>
    <row r="620" spans="1:11">
      <c r="A620" t="s">
        <v>667</v>
      </c>
      <c r="B620" t="s">
        <v>36</v>
      </c>
      <c r="C620" t="s">
        <v>82</v>
      </c>
      <c r="D620" t="s">
        <v>43</v>
      </c>
      <c r="E620" s="1">
        <v>45094</v>
      </c>
      <c r="F620" s="1">
        <v>45098</v>
      </c>
      <c r="G620">
        <v>8.6</v>
      </c>
      <c r="H620">
        <v>119.7</v>
      </c>
      <c r="I620" t="s">
        <v>16</v>
      </c>
      <c r="J620">
        <v>1000</v>
      </c>
      <c r="K620">
        <v>4</v>
      </c>
    </row>
    <row r="621" spans="1:11">
      <c r="A621" t="s">
        <v>668</v>
      </c>
      <c r="B621" t="s">
        <v>28</v>
      </c>
      <c r="C621" t="s">
        <v>53</v>
      </c>
      <c r="D621" t="s">
        <v>43</v>
      </c>
      <c r="E621" s="1">
        <v>45276</v>
      </c>
      <c r="F621" s="1">
        <v>45285</v>
      </c>
      <c r="G621">
        <v>43.2</v>
      </c>
      <c r="H621">
        <v>416.42</v>
      </c>
      <c r="I621" t="s">
        <v>48</v>
      </c>
      <c r="J621">
        <v>2266</v>
      </c>
      <c r="K621">
        <v>7</v>
      </c>
    </row>
    <row r="622" spans="1:11">
      <c r="A622" t="s">
        <v>669</v>
      </c>
      <c r="B622" t="s">
        <v>31</v>
      </c>
      <c r="C622" t="s">
        <v>58</v>
      </c>
      <c r="D622" t="s">
        <v>19</v>
      </c>
      <c r="E622" s="1">
        <v>45187</v>
      </c>
      <c r="F622" s="1">
        <v>45196</v>
      </c>
      <c r="G622">
        <v>51.8</v>
      </c>
      <c r="H622">
        <v>201.57</v>
      </c>
      <c r="I622" t="s">
        <v>48</v>
      </c>
      <c r="J622">
        <v>1014</v>
      </c>
      <c r="K622">
        <v>3</v>
      </c>
    </row>
    <row r="623" spans="1:11">
      <c r="A623" t="s">
        <v>670</v>
      </c>
      <c r="B623" t="s">
        <v>24</v>
      </c>
      <c r="C623" t="s">
        <v>37</v>
      </c>
      <c r="D623" t="s">
        <v>60</v>
      </c>
      <c r="E623" s="1">
        <v>45244</v>
      </c>
      <c r="F623" s="1">
        <v>45252</v>
      </c>
      <c r="G623">
        <v>21.4</v>
      </c>
      <c r="H623">
        <v>276.47000000000003</v>
      </c>
      <c r="I623" t="s">
        <v>16</v>
      </c>
      <c r="J623">
        <v>1837</v>
      </c>
      <c r="K623">
        <v>8</v>
      </c>
    </row>
    <row r="624" spans="1:11">
      <c r="A624" t="s">
        <v>671</v>
      </c>
      <c r="B624" t="s">
        <v>40</v>
      </c>
      <c r="C624" t="s">
        <v>45</v>
      </c>
      <c r="D624" t="s">
        <v>26</v>
      </c>
      <c r="E624" s="1">
        <v>44974</v>
      </c>
      <c r="F624" s="1">
        <v>44977</v>
      </c>
      <c r="G624">
        <v>34.200000000000003</v>
      </c>
      <c r="H624">
        <v>73.58</v>
      </c>
      <c r="I624" t="s">
        <v>16</v>
      </c>
      <c r="J624">
        <v>264</v>
      </c>
      <c r="K624">
        <v>3</v>
      </c>
    </row>
    <row r="625" spans="1:11">
      <c r="A625" t="s">
        <v>672</v>
      </c>
      <c r="B625" t="s">
        <v>21</v>
      </c>
      <c r="C625" t="s">
        <v>41</v>
      </c>
      <c r="D625" t="s">
        <v>33</v>
      </c>
      <c r="E625" s="1">
        <v>45199</v>
      </c>
      <c r="F625" s="1">
        <v>45202</v>
      </c>
      <c r="G625">
        <v>27.8</v>
      </c>
      <c r="H625">
        <v>172.58</v>
      </c>
      <c r="I625" t="s">
        <v>16</v>
      </c>
      <c r="J625">
        <v>920</v>
      </c>
      <c r="K625">
        <v>3</v>
      </c>
    </row>
    <row r="626" spans="1:11">
      <c r="A626" t="s">
        <v>673</v>
      </c>
      <c r="B626" t="s">
        <v>24</v>
      </c>
      <c r="C626" t="s">
        <v>29</v>
      </c>
      <c r="D626" t="s">
        <v>33</v>
      </c>
      <c r="E626" s="1">
        <v>45021</v>
      </c>
      <c r="F626" s="1">
        <v>45025</v>
      </c>
      <c r="G626">
        <v>3.3</v>
      </c>
      <c r="H626">
        <v>52.34</v>
      </c>
      <c r="I626" t="s">
        <v>16</v>
      </c>
      <c r="J626">
        <v>385</v>
      </c>
      <c r="K626">
        <v>4</v>
      </c>
    </row>
    <row r="627" spans="1:11">
      <c r="A627" t="s">
        <v>674</v>
      </c>
      <c r="B627" t="s">
        <v>36</v>
      </c>
      <c r="C627" t="s">
        <v>14</v>
      </c>
      <c r="D627" t="s">
        <v>19</v>
      </c>
      <c r="E627" s="1">
        <v>45094</v>
      </c>
      <c r="F627" s="1">
        <v>45098</v>
      </c>
      <c r="G627">
        <v>22.5</v>
      </c>
      <c r="H627">
        <v>252.88</v>
      </c>
      <c r="I627" t="s">
        <v>16</v>
      </c>
      <c r="J627">
        <v>1650</v>
      </c>
      <c r="K627">
        <v>4</v>
      </c>
    </row>
    <row r="628" spans="1:11">
      <c r="A628" t="s">
        <v>675</v>
      </c>
      <c r="B628" t="s">
        <v>13</v>
      </c>
      <c r="C628" t="s">
        <v>58</v>
      </c>
      <c r="D628" t="s">
        <v>26</v>
      </c>
      <c r="E628" s="1">
        <v>45193</v>
      </c>
      <c r="F628" s="1">
        <v>45199</v>
      </c>
      <c r="G628">
        <v>16.3</v>
      </c>
      <c r="H628">
        <v>274.14999999999998</v>
      </c>
      <c r="I628" t="s">
        <v>16</v>
      </c>
      <c r="J628">
        <v>2133</v>
      </c>
      <c r="K628">
        <v>6</v>
      </c>
    </row>
    <row r="629" spans="1:11">
      <c r="A629" t="s">
        <v>676</v>
      </c>
      <c r="B629" t="s">
        <v>28</v>
      </c>
      <c r="C629" t="s">
        <v>14</v>
      </c>
      <c r="D629" t="s">
        <v>33</v>
      </c>
      <c r="E629" s="1">
        <v>45245</v>
      </c>
      <c r="F629" s="1">
        <v>45250</v>
      </c>
      <c r="G629">
        <v>7</v>
      </c>
      <c r="H629">
        <v>194.75</v>
      </c>
      <c r="I629" t="s">
        <v>63</v>
      </c>
      <c r="J629">
        <v>1191</v>
      </c>
      <c r="K629">
        <v>5</v>
      </c>
    </row>
    <row r="630" spans="1:11">
      <c r="A630" t="s">
        <v>677</v>
      </c>
      <c r="B630" t="s">
        <v>21</v>
      </c>
      <c r="C630" t="s">
        <v>55</v>
      </c>
      <c r="D630" t="s">
        <v>60</v>
      </c>
      <c r="E630" s="1">
        <v>44931</v>
      </c>
      <c r="F630" s="1">
        <v>44934</v>
      </c>
      <c r="G630">
        <v>27.1</v>
      </c>
      <c r="H630">
        <v>133.41999999999999</v>
      </c>
      <c r="I630" t="s">
        <v>61</v>
      </c>
      <c r="J630">
        <v>836</v>
      </c>
      <c r="K630">
        <v>3</v>
      </c>
    </row>
    <row r="631" spans="1:11">
      <c r="A631" t="s">
        <v>678</v>
      </c>
      <c r="B631" t="s">
        <v>36</v>
      </c>
      <c r="C631" t="s">
        <v>82</v>
      </c>
      <c r="D631" t="s">
        <v>33</v>
      </c>
      <c r="E631" s="1">
        <v>45203</v>
      </c>
      <c r="F631" s="1">
        <v>45205</v>
      </c>
      <c r="G631">
        <v>11.9</v>
      </c>
      <c r="H631">
        <v>149.69999999999999</v>
      </c>
      <c r="I631" t="s">
        <v>16</v>
      </c>
      <c r="J631">
        <v>1000</v>
      </c>
      <c r="K631">
        <v>2</v>
      </c>
    </row>
    <row r="632" spans="1:11">
      <c r="A632" t="s">
        <v>679</v>
      </c>
      <c r="B632" t="s">
        <v>28</v>
      </c>
      <c r="C632" t="s">
        <v>71</v>
      </c>
      <c r="D632" t="s">
        <v>19</v>
      </c>
      <c r="E632" s="1">
        <v>45150</v>
      </c>
      <c r="F632" s="1">
        <v>45152</v>
      </c>
      <c r="G632">
        <v>54.7</v>
      </c>
      <c r="H632">
        <v>191.49</v>
      </c>
      <c r="I632" t="s">
        <v>16</v>
      </c>
      <c r="J632">
        <v>723</v>
      </c>
      <c r="K632">
        <v>2</v>
      </c>
    </row>
    <row r="633" spans="1:11">
      <c r="A633" t="s">
        <v>680</v>
      </c>
      <c r="B633" t="s">
        <v>13</v>
      </c>
      <c r="C633" t="s">
        <v>71</v>
      </c>
      <c r="D633" t="s">
        <v>33</v>
      </c>
      <c r="E633" s="1">
        <v>45133</v>
      </c>
      <c r="F633" s="1">
        <v>45139</v>
      </c>
      <c r="G633">
        <v>26</v>
      </c>
      <c r="H633">
        <v>304.66000000000003</v>
      </c>
      <c r="I633" t="s">
        <v>61</v>
      </c>
      <c r="J633">
        <v>1990</v>
      </c>
      <c r="K633">
        <v>6</v>
      </c>
    </row>
    <row r="634" spans="1:11">
      <c r="A634" t="s">
        <v>681</v>
      </c>
      <c r="B634" t="s">
        <v>24</v>
      </c>
      <c r="C634" t="s">
        <v>58</v>
      </c>
      <c r="D634" t="s">
        <v>15</v>
      </c>
      <c r="E634" s="1">
        <v>45237</v>
      </c>
      <c r="F634" s="1">
        <v>45239</v>
      </c>
      <c r="G634">
        <v>6.9</v>
      </c>
      <c r="H634">
        <v>107.24</v>
      </c>
      <c r="I634" t="s">
        <v>16</v>
      </c>
      <c r="J634">
        <v>660</v>
      </c>
      <c r="K634">
        <v>2</v>
      </c>
    </row>
    <row r="635" spans="1:11">
      <c r="A635" t="s">
        <v>682</v>
      </c>
      <c r="B635" t="s">
        <v>31</v>
      </c>
      <c r="C635" t="s">
        <v>22</v>
      </c>
      <c r="D635" t="s">
        <v>15</v>
      </c>
      <c r="E635" s="1">
        <v>45128</v>
      </c>
      <c r="F635" s="1">
        <v>45134</v>
      </c>
      <c r="G635">
        <v>44.1</v>
      </c>
      <c r="H635">
        <v>340.74</v>
      </c>
      <c r="I635" t="s">
        <v>16</v>
      </c>
      <c r="J635">
        <v>2174</v>
      </c>
      <c r="K635">
        <v>6</v>
      </c>
    </row>
    <row r="636" spans="1:11">
      <c r="A636" t="s">
        <v>683</v>
      </c>
      <c r="B636" t="s">
        <v>31</v>
      </c>
      <c r="C636" t="s">
        <v>58</v>
      </c>
      <c r="D636" t="s">
        <v>60</v>
      </c>
      <c r="E636" s="1">
        <v>45141</v>
      </c>
      <c r="F636" s="1">
        <v>45144</v>
      </c>
      <c r="G636">
        <v>16.2</v>
      </c>
      <c r="H636">
        <v>93.12</v>
      </c>
      <c r="I636" t="s">
        <v>16</v>
      </c>
      <c r="J636">
        <v>651</v>
      </c>
      <c r="K636">
        <v>3</v>
      </c>
    </row>
    <row r="637" spans="1:11">
      <c r="A637" t="s">
        <v>684</v>
      </c>
      <c r="B637" t="s">
        <v>36</v>
      </c>
      <c r="C637" t="s">
        <v>82</v>
      </c>
      <c r="D637" t="s">
        <v>33</v>
      </c>
      <c r="E637" s="1">
        <v>45241</v>
      </c>
      <c r="F637" s="1">
        <v>45244</v>
      </c>
      <c r="G637">
        <v>65.2</v>
      </c>
      <c r="H637">
        <v>264.64</v>
      </c>
      <c r="I637" t="s">
        <v>16</v>
      </c>
      <c r="J637">
        <v>1000</v>
      </c>
      <c r="K637">
        <v>3</v>
      </c>
    </row>
    <row r="638" spans="1:11">
      <c r="A638" t="s">
        <v>685</v>
      </c>
      <c r="B638" t="s">
        <v>36</v>
      </c>
      <c r="C638" t="s">
        <v>58</v>
      </c>
      <c r="D638" t="s">
        <v>19</v>
      </c>
      <c r="E638" s="1">
        <v>45064</v>
      </c>
      <c r="G638">
        <v>8</v>
      </c>
      <c r="H638">
        <v>164.55</v>
      </c>
      <c r="I638" t="s">
        <v>16</v>
      </c>
      <c r="J638">
        <v>1019</v>
      </c>
      <c r="K638">
        <v>3</v>
      </c>
    </row>
    <row r="639" spans="1:11">
      <c r="A639" t="s">
        <v>686</v>
      </c>
      <c r="B639" t="s">
        <v>57</v>
      </c>
      <c r="C639" t="s">
        <v>47</v>
      </c>
      <c r="D639" t="s">
        <v>43</v>
      </c>
      <c r="E639" s="1">
        <v>45064</v>
      </c>
      <c r="F639" s="1">
        <v>45066</v>
      </c>
      <c r="G639">
        <v>29.9</v>
      </c>
      <c r="H639">
        <v>95.19</v>
      </c>
      <c r="I639" t="s">
        <v>16</v>
      </c>
      <c r="J639">
        <v>508</v>
      </c>
      <c r="K639">
        <v>2</v>
      </c>
    </row>
    <row r="640" spans="1:11">
      <c r="A640" t="s">
        <v>687</v>
      </c>
      <c r="B640" t="s">
        <v>36</v>
      </c>
      <c r="C640" t="s">
        <v>22</v>
      </c>
      <c r="D640" t="s">
        <v>43</v>
      </c>
      <c r="E640" s="1">
        <v>45077</v>
      </c>
      <c r="F640" s="1">
        <v>45083</v>
      </c>
      <c r="G640">
        <v>22.5</v>
      </c>
      <c r="H640">
        <v>304.07</v>
      </c>
      <c r="I640" t="s">
        <v>16</v>
      </c>
      <c r="J640">
        <v>2165</v>
      </c>
      <c r="K640">
        <v>6</v>
      </c>
    </row>
    <row r="641" spans="1:11">
      <c r="A641" t="s">
        <v>688</v>
      </c>
      <c r="B641" t="s">
        <v>40</v>
      </c>
      <c r="C641" t="s">
        <v>37</v>
      </c>
      <c r="D641" t="s">
        <v>60</v>
      </c>
      <c r="E641" s="1">
        <v>45194</v>
      </c>
      <c r="F641" s="1">
        <v>45199</v>
      </c>
      <c r="G641">
        <v>27.2</v>
      </c>
      <c r="H641">
        <v>158.38</v>
      </c>
      <c r="I641" t="s">
        <v>16</v>
      </c>
      <c r="J641">
        <v>1038</v>
      </c>
      <c r="K641">
        <v>5</v>
      </c>
    </row>
    <row r="642" spans="1:11">
      <c r="A642" t="s">
        <v>689</v>
      </c>
      <c r="B642" t="s">
        <v>40</v>
      </c>
      <c r="C642" t="s">
        <v>58</v>
      </c>
      <c r="D642" t="s">
        <v>15</v>
      </c>
      <c r="E642" s="1">
        <v>44979</v>
      </c>
      <c r="G642">
        <v>27.7</v>
      </c>
      <c r="H642">
        <v>129.49</v>
      </c>
      <c r="I642" t="s">
        <v>16</v>
      </c>
      <c r="J642">
        <v>730</v>
      </c>
      <c r="K642">
        <v>3</v>
      </c>
    </row>
    <row r="643" spans="1:11">
      <c r="A643" t="s">
        <v>690</v>
      </c>
      <c r="B643" t="s">
        <v>28</v>
      </c>
      <c r="C643" t="s">
        <v>71</v>
      </c>
      <c r="D643" t="s">
        <v>38</v>
      </c>
      <c r="E643" s="1">
        <v>45004</v>
      </c>
      <c r="F643" s="1">
        <v>45011</v>
      </c>
      <c r="G643">
        <v>37.700000000000003</v>
      </c>
      <c r="H643">
        <v>339.21</v>
      </c>
      <c r="I643" t="s">
        <v>16</v>
      </c>
      <c r="J643">
        <v>2201</v>
      </c>
      <c r="K643">
        <v>7</v>
      </c>
    </row>
    <row r="644" spans="1:11">
      <c r="A644" t="s">
        <v>691</v>
      </c>
      <c r="B644" t="s">
        <v>57</v>
      </c>
      <c r="C644" t="s">
        <v>41</v>
      </c>
      <c r="D644" t="s">
        <v>33</v>
      </c>
      <c r="E644" s="1">
        <v>45005</v>
      </c>
      <c r="F644" s="1">
        <v>45010</v>
      </c>
      <c r="G644">
        <v>10.199999999999999</v>
      </c>
      <c r="H644">
        <v>265.14999999999998</v>
      </c>
      <c r="I644" t="s">
        <v>16</v>
      </c>
      <c r="J644">
        <v>1808</v>
      </c>
      <c r="K644">
        <v>5</v>
      </c>
    </row>
    <row r="645" spans="1:11">
      <c r="A645" t="s">
        <v>692</v>
      </c>
      <c r="B645" t="s">
        <v>50</v>
      </c>
      <c r="C645" t="s">
        <v>53</v>
      </c>
      <c r="D645" t="s">
        <v>26</v>
      </c>
      <c r="E645" s="1">
        <v>45202</v>
      </c>
      <c r="F645" s="1">
        <v>45204</v>
      </c>
      <c r="G645">
        <v>10.199999999999999</v>
      </c>
      <c r="H645">
        <v>79.739999999999995</v>
      </c>
      <c r="I645" t="s">
        <v>16</v>
      </c>
      <c r="J645">
        <v>553</v>
      </c>
      <c r="K645">
        <v>2</v>
      </c>
    </row>
    <row r="646" spans="1:11">
      <c r="A646" t="s">
        <v>693</v>
      </c>
      <c r="B646" t="s">
        <v>50</v>
      </c>
      <c r="C646" t="s">
        <v>32</v>
      </c>
      <c r="D646" t="s">
        <v>19</v>
      </c>
      <c r="E646" s="1">
        <v>45003</v>
      </c>
      <c r="F646" s="1">
        <v>45007</v>
      </c>
      <c r="G646">
        <v>44.4</v>
      </c>
      <c r="H646">
        <v>151.19999999999999</v>
      </c>
      <c r="I646" t="s">
        <v>16</v>
      </c>
      <c r="J646">
        <v>560</v>
      </c>
      <c r="K646">
        <v>4</v>
      </c>
    </row>
    <row r="647" spans="1:11">
      <c r="A647" t="s">
        <v>694</v>
      </c>
      <c r="B647" t="s">
        <v>13</v>
      </c>
      <c r="C647" t="s">
        <v>18</v>
      </c>
      <c r="D647" t="s">
        <v>60</v>
      </c>
      <c r="E647" s="1">
        <v>45135</v>
      </c>
      <c r="F647" s="1">
        <v>45140</v>
      </c>
      <c r="G647">
        <v>21.9</v>
      </c>
      <c r="H647">
        <v>289.79000000000002</v>
      </c>
      <c r="I647" t="s">
        <v>16</v>
      </c>
      <c r="J647">
        <v>2189</v>
      </c>
      <c r="K647">
        <v>5</v>
      </c>
    </row>
    <row r="648" spans="1:11">
      <c r="A648" t="s">
        <v>695</v>
      </c>
      <c r="B648" t="s">
        <v>31</v>
      </c>
      <c r="C648" t="s">
        <v>41</v>
      </c>
      <c r="D648" t="s">
        <v>43</v>
      </c>
      <c r="E648" s="1">
        <v>45247</v>
      </c>
      <c r="F648" s="1">
        <v>45249</v>
      </c>
      <c r="G648">
        <v>23.1</v>
      </c>
      <c r="H648">
        <v>98.82</v>
      </c>
      <c r="I648" t="s">
        <v>16</v>
      </c>
      <c r="J648">
        <v>393</v>
      </c>
      <c r="K648">
        <v>2</v>
      </c>
    </row>
    <row r="649" spans="1:11">
      <c r="A649" t="s">
        <v>696</v>
      </c>
      <c r="B649" t="s">
        <v>50</v>
      </c>
      <c r="C649" t="s">
        <v>58</v>
      </c>
      <c r="D649" t="s">
        <v>19</v>
      </c>
      <c r="E649" s="1">
        <v>45273</v>
      </c>
      <c r="F649" s="1">
        <v>45276</v>
      </c>
      <c r="G649">
        <v>37.700000000000003</v>
      </c>
      <c r="H649">
        <v>336.06</v>
      </c>
      <c r="I649" t="s">
        <v>16</v>
      </c>
      <c r="J649">
        <v>1505</v>
      </c>
      <c r="K649">
        <v>3</v>
      </c>
    </row>
    <row r="650" spans="1:11">
      <c r="A650" t="s">
        <v>697</v>
      </c>
      <c r="B650" t="s">
        <v>57</v>
      </c>
      <c r="C650" t="s">
        <v>32</v>
      </c>
      <c r="D650" t="s">
        <v>26</v>
      </c>
      <c r="E650" s="1">
        <v>45194</v>
      </c>
      <c r="F650" s="1">
        <v>45200</v>
      </c>
      <c r="G650">
        <v>37.1</v>
      </c>
      <c r="H650">
        <v>236.03</v>
      </c>
      <c r="I650" t="s">
        <v>16</v>
      </c>
      <c r="J650">
        <v>1673</v>
      </c>
      <c r="K650">
        <v>6</v>
      </c>
    </row>
    <row r="651" spans="1:11">
      <c r="A651" t="s">
        <v>698</v>
      </c>
      <c r="B651" t="s">
        <v>21</v>
      </c>
      <c r="C651" t="s">
        <v>37</v>
      </c>
      <c r="D651" t="s">
        <v>26</v>
      </c>
      <c r="E651" s="1">
        <v>45142</v>
      </c>
      <c r="F651" s="1">
        <v>45146</v>
      </c>
      <c r="G651">
        <v>12.1</v>
      </c>
      <c r="H651">
        <v>144.44</v>
      </c>
      <c r="I651" t="s">
        <v>16</v>
      </c>
      <c r="J651">
        <v>1029</v>
      </c>
      <c r="K651">
        <v>4</v>
      </c>
    </row>
    <row r="652" spans="1:11">
      <c r="A652" t="s">
        <v>699</v>
      </c>
      <c r="B652" t="s">
        <v>28</v>
      </c>
      <c r="C652" t="s">
        <v>55</v>
      </c>
      <c r="D652" t="s">
        <v>38</v>
      </c>
      <c r="E652" s="1">
        <v>45198</v>
      </c>
      <c r="F652" s="1">
        <v>45205</v>
      </c>
      <c r="G652">
        <v>6.9</v>
      </c>
      <c r="H652">
        <v>294.86</v>
      </c>
      <c r="I652" t="s">
        <v>16</v>
      </c>
      <c r="J652">
        <v>2487</v>
      </c>
      <c r="K652">
        <v>7</v>
      </c>
    </row>
    <row r="653" spans="1:11">
      <c r="A653" t="s">
        <v>700</v>
      </c>
      <c r="B653" t="s">
        <v>50</v>
      </c>
      <c r="C653" t="s">
        <v>71</v>
      </c>
      <c r="D653" t="s">
        <v>26</v>
      </c>
      <c r="E653" s="1">
        <v>45111</v>
      </c>
      <c r="F653" s="1">
        <v>45115</v>
      </c>
      <c r="G653">
        <v>14.6</v>
      </c>
      <c r="H653">
        <v>204.47</v>
      </c>
      <c r="I653" t="s">
        <v>16</v>
      </c>
      <c r="J653">
        <v>1495</v>
      </c>
      <c r="K653">
        <v>4</v>
      </c>
    </row>
    <row r="654" spans="1:11">
      <c r="A654" t="s">
        <v>701</v>
      </c>
      <c r="B654" t="s">
        <v>24</v>
      </c>
      <c r="C654" t="s">
        <v>45</v>
      </c>
      <c r="D654" t="s">
        <v>19</v>
      </c>
      <c r="E654" s="1">
        <v>45108</v>
      </c>
      <c r="F654" s="1">
        <v>45113</v>
      </c>
      <c r="G654">
        <v>54.9</v>
      </c>
      <c r="H654">
        <v>243.58</v>
      </c>
      <c r="I654" t="s">
        <v>16</v>
      </c>
      <c r="J654">
        <v>1121</v>
      </c>
      <c r="K654">
        <v>5</v>
      </c>
    </row>
    <row r="655" spans="1:11">
      <c r="A655" t="s">
        <v>702</v>
      </c>
      <c r="B655" t="s">
        <v>52</v>
      </c>
      <c r="C655" t="s">
        <v>45</v>
      </c>
      <c r="D655" t="s">
        <v>19</v>
      </c>
      <c r="E655" s="1">
        <v>45160</v>
      </c>
      <c r="F655" s="1">
        <v>45162</v>
      </c>
      <c r="G655">
        <v>31.7</v>
      </c>
      <c r="H655">
        <v>163.47999999999999</v>
      </c>
      <c r="I655" t="s">
        <v>16</v>
      </c>
      <c r="J655">
        <v>790</v>
      </c>
      <c r="K655">
        <v>2</v>
      </c>
    </row>
    <row r="656" spans="1:11">
      <c r="A656" t="s">
        <v>703</v>
      </c>
      <c r="B656" t="s">
        <v>24</v>
      </c>
      <c r="C656" t="s">
        <v>58</v>
      </c>
      <c r="D656" t="s">
        <v>26</v>
      </c>
      <c r="E656" s="1">
        <v>45203</v>
      </c>
      <c r="F656" s="1">
        <v>45207</v>
      </c>
      <c r="G656">
        <v>15.7</v>
      </c>
      <c r="H656">
        <v>191.45</v>
      </c>
      <c r="I656" t="s">
        <v>16</v>
      </c>
      <c r="J656">
        <v>1457</v>
      </c>
      <c r="K656">
        <v>4</v>
      </c>
    </row>
    <row r="657" spans="1:11">
      <c r="A657" t="s">
        <v>704</v>
      </c>
      <c r="B657" t="s">
        <v>40</v>
      </c>
      <c r="C657" t="s">
        <v>55</v>
      </c>
      <c r="D657" t="s">
        <v>15</v>
      </c>
      <c r="E657" s="1">
        <v>44933</v>
      </c>
      <c r="F657" s="1">
        <v>44938</v>
      </c>
      <c r="G657">
        <v>6.6</v>
      </c>
      <c r="H657">
        <v>261.19</v>
      </c>
      <c r="I657" t="s">
        <v>16</v>
      </c>
      <c r="J657">
        <v>1832</v>
      </c>
      <c r="K657">
        <v>5</v>
      </c>
    </row>
    <row r="658" spans="1:11">
      <c r="A658" t="s">
        <v>705</v>
      </c>
      <c r="B658" t="s">
        <v>28</v>
      </c>
      <c r="C658" t="s">
        <v>71</v>
      </c>
      <c r="D658" t="s">
        <v>43</v>
      </c>
      <c r="E658" s="1">
        <v>45132</v>
      </c>
      <c r="F658" s="1">
        <v>45135</v>
      </c>
      <c r="G658">
        <v>53.1</v>
      </c>
      <c r="H658">
        <v>197.62</v>
      </c>
      <c r="I658" t="s">
        <v>16</v>
      </c>
      <c r="J658">
        <v>1208</v>
      </c>
      <c r="K658">
        <v>3</v>
      </c>
    </row>
    <row r="659" spans="1:11">
      <c r="A659" t="s">
        <v>706</v>
      </c>
      <c r="B659" t="s">
        <v>28</v>
      </c>
      <c r="C659" t="s">
        <v>82</v>
      </c>
      <c r="D659" t="s">
        <v>43</v>
      </c>
      <c r="E659" s="1">
        <v>45276</v>
      </c>
      <c r="F659" s="1">
        <v>45277</v>
      </c>
      <c r="G659">
        <v>32.299999999999997</v>
      </c>
      <c r="H659">
        <v>115.94</v>
      </c>
      <c r="I659" t="s">
        <v>16</v>
      </c>
      <c r="J659">
        <v>531</v>
      </c>
      <c r="K659">
        <v>1</v>
      </c>
    </row>
    <row r="660" spans="1:11">
      <c r="A660" t="s">
        <v>707</v>
      </c>
      <c r="B660" t="s">
        <v>21</v>
      </c>
      <c r="C660" t="s">
        <v>29</v>
      </c>
      <c r="D660" t="s">
        <v>38</v>
      </c>
      <c r="E660" s="1">
        <v>45283</v>
      </c>
      <c r="F660" s="1">
        <v>45290</v>
      </c>
      <c r="G660">
        <v>67.3</v>
      </c>
      <c r="H660">
        <v>275.70999999999998</v>
      </c>
      <c r="I660" t="s">
        <v>16</v>
      </c>
      <c r="J660">
        <v>1435</v>
      </c>
      <c r="K660">
        <v>7</v>
      </c>
    </row>
    <row r="661" spans="1:11">
      <c r="A661" t="s">
        <v>708</v>
      </c>
      <c r="B661" t="s">
        <v>28</v>
      </c>
      <c r="C661" t="s">
        <v>37</v>
      </c>
      <c r="D661" t="s">
        <v>15</v>
      </c>
      <c r="E661" s="1">
        <v>45186</v>
      </c>
      <c r="F661" s="1">
        <v>45191</v>
      </c>
      <c r="G661">
        <v>11.7</v>
      </c>
      <c r="H661">
        <v>241.13</v>
      </c>
      <c r="I661" t="s">
        <v>16</v>
      </c>
      <c r="J661">
        <v>1803</v>
      </c>
      <c r="K661">
        <v>5</v>
      </c>
    </row>
    <row r="662" spans="1:11">
      <c r="A662" t="s">
        <v>709</v>
      </c>
      <c r="B662" t="s">
        <v>50</v>
      </c>
      <c r="C662" t="s">
        <v>71</v>
      </c>
      <c r="D662" t="s">
        <v>38</v>
      </c>
      <c r="E662" s="1">
        <v>45155</v>
      </c>
      <c r="F662" s="1">
        <v>45160</v>
      </c>
      <c r="G662">
        <v>6.3</v>
      </c>
      <c r="H662">
        <v>315.26</v>
      </c>
      <c r="I662" t="s">
        <v>16</v>
      </c>
      <c r="J662">
        <v>2363</v>
      </c>
      <c r="K662">
        <v>5</v>
      </c>
    </row>
    <row r="663" spans="1:11">
      <c r="A663" t="s">
        <v>710</v>
      </c>
      <c r="B663" t="s">
        <v>31</v>
      </c>
      <c r="C663" t="s">
        <v>45</v>
      </c>
      <c r="D663" t="s">
        <v>38</v>
      </c>
      <c r="E663" s="1">
        <v>45204</v>
      </c>
      <c r="F663" s="1">
        <v>45207</v>
      </c>
      <c r="G663">
        <v>57.7</v>
      </c>
      <c r="H663">
        <v>243.19</v>
      </c>
      <c r="I663" t="s">
        <v>16</v>
      </c>
      <c r="J663">
        <v>1274</v>
      </c>
      <c r="K663">
        <v>3</v>
      </c>
    </row>
    <row r="664" spans="1:11">
      <c r="A664" t="s">
        <v>711</v>
      </c>
      <c r="B664" t="s">
        <v>36</v>
      </c>
      <c r="C664" t="s">
        <v>32</v>
      </c>
      <c r="D664" t="s">
        <v>26</v>
      </c>
      <c r="E664" s="1">
        <v>44966</v>
      </c>
      <c r="F664" s="1">
        <v>44971</v>
      </c>
      <c r="G664">
        <v>5.9</v>
      </c>
      <c r="H664">
        <v>199.78</v>
      </c>
      <c r="I664" t="s">
        <v>16</v>
      </c>
      <c r="J664">
        <v>1678</v>
      </c>
      <c r="K664">
        <v>5</v>
      </c>
    </row>
    <row r="665" spans="1:11">
      <c r="A665" t="s">
        <v>712</v>
      </c>
      <c r="B665" t="s">
        <v>36</v>
      </c>
      <c r="C665" t="s">
        <v>25</v>
      </c>
      <c r="D665" t="s">
        <v>19</v>
      </c>
      <c r="E665" s="1">
        <v>45216</v>
      </c>
      <c r="F665" s="1">
        <v>45233</v>
      </c>
      <c r="G665">
        <v>38</v>
      </c>
      <c r="H665">
        <v>416.88</v>
      </c>
      <c r="I665" t="s">
        <v>48</v>
      </c>
      <c r="J665">
        <v>2447</v>
      </c>
      <c r="K665">
        <v>6</v>
      </c>
    </row>
    <row r="666" spans="1:11">
      <c r="A666" t="s">
        <v>713</v>
      </c>
      <c r="B666" t="s">
        <v>28</v>
      </c>
      <c r="C666" t="s">
        <v>58</v>
      </c>
      <c r="D666" t="s">
        <v>38</v>
      </c>
      <c r="E666" s="1">
        <v>44988</v>
      </c>
      <c r="F666" s="1">
        <v>44993</v>
      </c>
      <c r="G666">
        <v>9.6999999999999993</v>
      </c>
      <c r="H666">
        <v>230.69</v>
      </c>
      <c r="I666" t="s">
        <v>16</v>
      </c>
      <c r="J666">
        <v>1667</v>
      </c>
      <c r="K666">
        <v>5</v>
      </c>
    </row>
    <row r="667" spans="1:11">
      <c r="A667" t="s">
        <v>714</v>
      </c>
      <c r="B667" t="s">
        <v>21</v>
      </c>
      <c r="C667" t="s">
        <v>29</v>
      </c>
      <c r="D667" t="s">
        <v>38</v>
      </c>
      <c r="E667" s="1">
        <v>45079</v>
      </c>
      <c r="F667" s="1">
        <v>45083</v>
      </c>
      <c r="G667">
        <v>25</v>
      </c>
      <c r="H667">
        <v>220.62</v>
      </c>
      <c r="I667" t="s">
        <v>16</v>
      </c>
      <c r="J667">
        <v>1435</v>
      </c>
      <c r="K667">
        <v>4</v>
      </c>
    </row>
    <row r="668" spans="1:11">
      <c r="A668" t="s">
        <v>715</v>
      </c>
      <c r="B668" t="s">
        <v>57</v>
      </c>
      <c r="C668" t="s">
        <v>22</v>
      </c>
      <c r="D668" t="s">
        <v>26</v>
      </c>
      <c r="E668" s="1">
        <v>44933</v>
      </c>
      <c r="F668" s="1">
        <v>44938</v>
      </c>
      <c r="G668">
        <v>9.6999999999999993</v>
      </c>
      <c r="H668">
        <v>260.86</v>
      </c>
      <c r="I668" t="s">
        <v>16</v>
      </c>
      <c r="J668">
        <v>1937</v>
      </c>
      <c r="K668">
        <v>5</v>
      </c>
    </row>
    <row r="669" spans="1:11">
      <c r="A669" t="s">
        <v>716</v>
      </c>
      <c r="B669" t="s">
        <v>31</v>
      </c>
      <c r="C669" t="s">
        <v>29</v>
      </c>
      <c r="D669" t="s">
        <v>15</v>
      </c>
      <c r="E669" s="1">
        <v>45013</v>
      </c>
      <c r="F669" s="1">
        <v>45016</v>
      </c>
      <c r="G669">
        <v>5.6</v>
      </c>
      <c r="H669">
        <v>94.63</v>
      </c>
      <c r="I669" t="s">
        <v>68</v>
      </c>
      <c r="J669">
        <v>659</v>
      </c>
      <c r="K669">
        <v>3</v>
      </c>
    </row>
    <row r="670" spans="1:11">
      <c r="A670" t="s">
        <v>717</v>
      </c>
      <c r="B670" t="s">
        <v>50</v>
      </c>
      <c r="C670" t="s">
        <v>55</v>
      </c>
      <c r="D670" t="s">
        <v>15</v>
      </c>
      <c r="E670" s="1">
        <v>44988</v>
      </c>
      <c r="F670" s="1">
        <v>44993</v>
      </c>
      <c r="G670">
        <v>18.100000000000001</v>
      </c>
      <c r="H670">
        <v>102.98</v>
      </c>
      <c r="I670" t="s">
        <v>16</v>
      </c>
      <c r="J670">
        <v>663</v>
      </c>
      <c r="K670">
        <v>5</v>
      </c>
    </row>
    <row r="671" spans="1:11">
      <c r="A671" t="s">
        <v>718</v>
      </c>
      <c r="B671" t="s">
        <v>21</v>
      </c>
      <c r="C671" t="s">
        <v>29</v>
      </c>
      <c r="D671" t="s">
        <v>43</v>
      </c>
      <c r="E671" s="1">
        <v>45246</v>
      </c>
      <c r="F671" s="1">
        <v>45251</v>
      </c>
      <c r="G671">
        <v>39</v>
      </c>
      <c r="H671">
        <v>280.22000000000003</v>
      </c>
      <c r="I671" t="s">
        <v>16</v>
      </c>
      <c r="J671">
        <v>1435</v>
      </c>
      <c r="K671">
        <v>5</v>
      </c>
    </row>
    <row r="672" spans="1:11">
      <c r="A672" t="s">
        <v>719</v>
      </c>
      <c r="B672" t="s">
        <v>24</v>
      </c>
      <c r="C672" t="s">
        <v>32</v>
      </c>
      <c r="D672" t="s">
        <v>43</v>
      </c>
      <c r="E672" s="1">
        <v>45005</v>
      </c>
      <c r="F672" s="1">
        <v>45013</v>
      </c>
      <c r="G672">
        <v>28.1</v>
      </c>
      <c r="H672">
        <v>192.15</v>
      </c>
      <c r="I672" t="s">
        <v>16</v>
      </c>
      <c r="J672">
        <v>1431</v>
      </c>
      <c r="K672">
        <v>8</v>
      </c>
    </row>
    <row r="673" spans="1:11">
      <c r="A673" t="s">
        <v>720</v>
      </c>
      <c r="B673" t="s">
        <v>13</v>
      </c>
      <c r="C673" t="s">
        <v>58</v>
      </c>
      <c r="D673" t="s">
        <v>19</v>
      </c>
      <c r="E673" s="1">
        <v>45219</v>
      </c>
      <c r="F673" s="1">
        <v>45233</v>
      </c>
      <c r="G673">
        <v>22.8</v>
      </c>
      <c r="H673">
        <v>362.33</v>
      </c>
      <c r="I673" t="s">
        <v>48</v>
      </c>
      <c r="J673">
        <v>2452</v>
      </c>
      <c r="K673">
        <v>5</v>
      </c>
    </row>
    <row r="674" spans="1:11">
      <c r="A674" t="s">
        <v>721</v>
      </c>
      <c r="B674" t="s">
        <v>40</v>
      </c>
      <c r="C674" t="s">
        <v>41</v>
      </c>
      <c r="D674" t="s">
        <v>43</v>
      </c>
      <c r="E674" s="1">
        <v>45116</v>
      </c>
      <c r="F674" s="1">
        <v>45130</v>
      </c>
      <c r="G674">
        <v>25.5</v>
      </c>
      <c r="H674">
        <v>298.33</v>
      </c>
      <c r="I674" t="s">
        <v>48</v>
      </c>
      <c r="J674">
        <v>2427</v>
      </c>
      <c r="K674">
        <v>6</v>
      </c>
    </row>
    <row r="675" spans="1:11">
      <c r="A675" t="s">
        <v>722</v>
      </c>
      <c r="B675" t="s">
        <v>52</v>
      </c>
      <c r="C675" t="s">
        <v>25</v>
      </c>
      <c r="D675" t="s">
        <v>43</v>
      </c>
      <c r="E675" s="1">
        <v>45089</v>
      </c>
      <c r="F675" s="1">
        <v>45094</v>
      </c>
      <c r="G675">
        <v>13.9</v>
      </c>
      <c r="H675">
        <v>131.13</v>
      </c>
      <c r="I675" t="s">
        <v>16</v>
      </c>
      <c r="J675">
        <v>872</v>
      </c>
      <c r="K675">
        <v>5</v>
      </c>
    </row>
    <row r="676" spans="1:11">
      <c r="A676" t="s">
        <v>723</v>
      </c>
      <c r="B676" t="s">
        <v>31</v>
      </c>
      <c r="C676" t="s">
        <v>22</v>
      </c>
      <c r="D676" t="s">
        <v>19</v>
      </c>
      <c r="E676" s="1">
        <v>45031</v>
      </c>
      <c r="F676" s="1">
        <v>45037</v>
      </c>
      <c r="G676">
        <v>7.7</v>
      </c>
      <c r="H676">
        <v>234.65</v>
      </c>
      <c r="I676" t="s">
        <v>16</v>
      </c>
      <c r="J676">
        <v>1747</v>
      </c>
      <c r="K676">
        <v>6</v>
      </c>
    </row>
    <row r="677" spans="1:11">
      <c r="A677" t="s">
        <v>724</v>
      </c>
      <c r="B677" t="s">
        <v>21</v>
      </c>
      <c r="C677" t="s">
        <v>22</v>
      </c>
      <c r="D677" t="s">
        <v>43</v>
      </c>
      <c r="E677" s="1">
        <v>45041</v>
      </c>
      <c r="F677" s="1">
        <v>45045</v>
      </c>
      <c r="G677">
        <v>37.799999999999997</v>
      </c>
      <c r="H677">
        <v>199.44</v>
      </c>
      <c r="I677" t="s">
        <v>16</v>
      </c>
      <c r="J677">
        <v>1314</v>
      </c>
      <c r="K677">
        <v>4</v>
      </c>
    </row>
    <row r="678" spans="1:11">
      <c r="A678" t="s">
        <v>725</v>
      </c>
      <c r="B678" t="s">
        <v>13</v>
      </c>
      <c r="C678" t="s">
        <v>71</v>
      </c>
      <c r="D678" t="s">
        <v>19</v>
      </c>
      <c r="E678" s="1">
        <v>45226</v>
      </c>
      <c r="F678" s="1">
        <v>45231</v>
      </c>
      <c r="G678">
        <v>43.7</v>
      </c>
      <c r="H678">
        <v>401.12</v>
      </c>
      <c r="I678" t="s">
        <v>16</v>
      </c>
      <c r="J678">
        <v>2460</v>
      </c>
      <c r="K678">
        <v>5</v>
      </c>
    </row>
    <row r="679" spans="1:11">
      <c r="A679" t="s">
        <v>726</v>
      </c>
      <c r="B679" t="s">
        <v>13</v>
      </c>
      <c r="C679" t="s">
        <v>32</v>
      </c>
      <c r="D679" t="s">
        <v>26</v>
      </c>
      <c r="E679" s="1">
        <v>45177</v>
      </c>
      <c r="F679" s="1">
        <v>45182</v>
      </c>
      <c r="G679">
        <v>20.6</v>
      </c>
      <c r="H679">
        <v>259.44</v>
      </c>
      <c r="I679" t="s">
        <v>16</v>
      </c>
      <c r="J679">
        <v>2189</v>
      </c>
      <c r="K679">
        <v>5</v>
      </c>
    </row>
    <row r="680" spans="1:11">
      <c r="A680" t="s">
        <v>727</v>
      </c>
      <c r="B680" t="s">
        <v>50</v>
      </c>
      <c r="C680" t="s">
        <v>82</v>
      </c>
      <c r="D680" t="s">
        <v>33</v>
      </c>
      <c r="E680" s="1">
        <v>45201</v>
      </c>
      <c r="F680" s="1">
        <v>45207</v>
      </c>
      <c r="G680">
        <v>14</v>
      </c>
      <c r="H680">
        <v>295.69</v>
      </c>
      <c r="I680" t="s">
        <v>16</v>
      </c>
      <c r="J680">
        <v>2105</v>
      </c>
      <c r="K680">
        <v>6</v>
      </c>
    </row>
    <row r="681" spans="1:11">
      <c r="A681" t="s">
        <v>728</v>
      </c>
      <c r="B681" t="s">
        <v>24</v>
      </c>
      <c r="C681" t="s">
        <v>55</v>
      </c>
      <c r="D681" t="s">
        <v>33</v>
      </c>
      <c r="E681" s="1">
        <v>44988</v>
      </c>
      <c r="F681" s="1">
        <v>44994</v>
      </c>
      <c r="G681">
        <v>6.5</v>
      </c>
      <c r="H681">
        <v>297.79000000000002</v>
      </c>
      <c r="I681" t="s">
        <v>16</v>
      </c>
      <c r="J681">
        <v>2185</v>
      </c>
      <c r="K681">
        <v>6</v>
      </c>
    </row>
    <row r="682" spans="1:11">
      <c r="A682" t="s">
        <v>729</v>
      </c>
      <c r="B682" t="s">
        <v>31</v>
      </c>
      <c r="C682" t="s">
        <v>22</v>
      </c>
      <c r="D682" t="s">
        <v>33</v>
      </c>
      <c r="E682" s="1">
        <v>45153</v>
      </c>
      <c r="F682" s="1">
        <v>45158</v>
      </c>
      <c r="G682">
        <v>122.7</v>
      </c>
      <c r="H682">
        <v>432.92</v>
      </c>
      <c r="I682" t="s">
        <v>16</v>
      </c>
      <c r="J682">
        <v>1984</v>
      </c>
      <c r="K682">
        <v>5</v>
      </c>
    </row>
    <row r="683" spans="1:11">
      <c r="A683" t="s">
        <v>730</v>
      </c>
      <c r="B683" t="s">
        <v>24</v>
      </c>
      <c r="C683" t="s">
        <v>53</v>
      </c>
      <c r="D683" t="s">
        <v>26</v>
      </c>
      <c r="E683" s="1">
        <v>45218</v>
      </c>
      <c r="F683" s="1">
        <v>45221</v>
      </c>
      <c r="G683">
        <v>13.6</v>
      </c>
      <c r="H683">
        <v>141.30000000000001</v>
      </c>
      <c r="I683" t="s">
        <v>16</v>
      </c>
      <c r="J683">
        <v>1123</v>
      </c>
      <c r="K683">
        <v>3</v>
      </c>
    </row>
    <row r="684" spans="1:11">
      <c r="A684" t="s">
        <v>731</v>
      </c>
      <c r="B684" t="s">
        <v>31</v>
      </c>
      <c r="C684" t="s">
        <v>14</v>
      </c>
      <c r="D684" t="s">
        <v>26</v>
      </c>
      <c r="E684" s="1">
        <v>45050</v>
      </c>
      <c r="F684" s="1">
        <v>45052</v>
      </c>
      <c r="G684">
        <v>35.9</v>
      </c>
      <c r="H684">
        <v>89.84</v>
      </c>
      <c r="I684" t="s">
        <v>16</v>
      </c>
      <c r="J684">
        <v>348</v>
      </c>
      <c r="K684">
        <v>2</v>
      </c>
    </row>
    <row r="685" spans="1:11">
      <c r="A685" t="s">
        <v>732</v>
      </c>
      <c r="B685" t="s">
        <v>21</v>
      </c>
      <c r="C685" t="s">
        <v>29</v>
      </c>
      <c r="D685" t="s">
        <v>38</v>
      </c>
      <c r="E685" s="1">
        <v>44928</v>
      </c>
      <c r="F685" s="1">
        <v>44931</v>
      </c>
      <c r="G685">
        <v>52.3</v>
      </c>
      <c r="H685">
        <v>222.33</v>
      </c>
      <c r="I685" t="s">
        <v>16</v>
      </c>
      <c r="J685">
        <v>1435</v>
      </c>
      <c r="K685">
        <v>3</v>
      </c>
    </row>
    <row r="686" spans="1:11">
      <c r="A686" t="s">
        <v>733</v>
      </c>
      <c r="B686" t="s">
        <v>40</v>
      </c>
      <c r="C686" t="s">
        <v>41</v>
      </c>
      <c r="D686" t="s">
        <v>19</v>
      </c>
      <c r="E686" s="1">
        <v>44985</v>
      </c>
      <c r="F686" s="1">
        <v>44986</v>
      </c>
      <c r="G686">
        <v>14.6</v>
      </c>
      <c r="H686">
        <v>58.01</v>
      </c>
      <c r="I686" t="s">
        <v>16</v>
      </c>
      <c r="J686">
        <v>265</v>
      </c>
      <c r="K686">
        <v>1</v>
      </c>
    </row>
    <row r="687" spans="1:11">
      <c r="A687" t="s">
        <v>734</v>
      </c>
      <c r="B687" t="s">
        <v>52</v>
      </c>
      <c r="C687" t="s">
        <v>18</v>
      </c>
      <c r="D687" t="s">
        <v>33</v>
      </c>
      <c r="E687" s="1">
        <v>44999</v>
      </c>
      <c r="F687" s="1">
        <v>45002</v>
      </c>
      <c r="G687">
        <v>36.799999999999997</v>
      </c>
      <c r="H687">
        <v>166.16</v>
      </c>
      <c r="I687" t="s">
        <v>16</v>
      </c>
      <c r="J687">
        <v>870</v>
      </c>
      <c r="K687">
        <v>3</v>
      </c>
    </row>
    <row r="688" spans="1:11">
      <c r="A688" t="s">
        <v>735</v>
      </c>
      <c r="B688" t="s">
        <v>24</v>
      </c>
      <c r="C688" t="s">
        <v>37</v>
      </c>
      <c r="D688" t="s">
        <v>43</v>
      </c>
      <c r="E688" s="1">
        <v>45255</v>
      </c>
      <c r="F688" s="1">
        <v>45261</v>
      </c>
      <c r="G688">
        <v>25.8</v>
      </c>
      <c r="H688">
        <v>319.08999999999997</v>
      </c>
      <c r="I688" t="s">
        <v>61</v>
      </c>
      <c r="J688">
        <v>2008</v>
      </c>
      <c r="K688">
        <v>6</v>
      </c>
    </row>
    <row r="689" spans="1:11">
      <c r="A689" t="s">
        <v>736</v>
      </c>
      <c r="B689" t="s">
        <v>21</v>
      </c>
      <c r="C689" t="s">
        <v>45</v>
      </c>
      <c r="D689" t="s">
        <v>60</v>
      </c>
      <c r="E689" s="1">
        <v>45096</v>
      </c>
      <c r="F689" s="1">
        <v>45099</v>
      </c>
      <c r="G689">
        <v>17.5</v>
      </c>
      <c r="H689">
        <v>165.72</v>
      </c>
      <c r="I689" t="s">
        <v>16</v>
      </c>
      <c r="J689">
        <v>1305</v>
      </c>
      <c r="K689">
        <v>3</v>
      </c>
    </row>
    <row r="690" spans="1:11">
      <c r="A690" t="s">
        <v>737</v>
      </c>
      <c r="B690" t="s">
        <v>28</v>
      </c>
      <c r="C690" t="s">
        <v>37</v>
      </c>
      <c r="D690" t="s">
        <v>26</v>
      </c>
      <c r="E690" s="1">
        <v>45225</v>
      </c>
      <c r="F690" s="1">
        <v>45229</v>
      </c>
      <c r="G690">
        <v>50.1</v>
      </c>
      <c r="H690">
        <v>282.69</v>
      </c>
      <c r="I690" t="s">
        <v>16</v>
      </c>
      <c r="J690">
        <v>1646</v>
      </c>
      <c r="K690">
        <v>4</v>
      </c>
    </row>
    <row r="691" spans="1:11">
      <c r="A691" t="s">
        <v>738</v>
      </c>
      <c r="B691" t="s">
        <v>36</v>
      </c>
      <c r="C691" t="s">
        <v>18</v>
      </c>
      <c r="D691" t="s">
        <v>43</v>
      </c>
      <c r="E691" s="1">
        <v>45001</v>
      </c>
      <c r="F691" s="1">
        <v>45006</v>
      </c>
      <c r="G691">
        <v>54</v>
      </c>
      <c r="H691">
        <v>326.08</v>
      </c>
      <c r="I691" t="s">
        <v>16</v>
      </c>
      <c r="J691">
        <v>2448</v>
      </c>
      <c r="K691">
        <v>5</v>
      </c>
    </row>
    <row r="692" spans="1:11">
      <c r="A692" t="s">
        <v>739</v>
      </c>
      <c r="B692" t="s">
        <v>24</v>
      </c>
      <c r="C692" t="s">
        <v>29</v>
      </c>
      <c r="D692" t="s">
        <v>19</v>
      </c>
      <c r="E692" s="1">
        <v>44940</v>
      </c>
      <c r="F692" s="1">
        <v>44944</v>
      </c>
      <c r="G692">
        <v>9.6</v>
      </c>
      <c r="H692">
        <v>243.91</v>
      </c>
      <c r="I692" t="s">
        <v>16</v>
      </c>
      <c r="J692">
        <v>1854</v>
      </c>
      <c r="K692">
        <v>4</v>
      </c>
    </row>
    <row r="693" spans="1:11">
      <c r="A693" t="s">
        <v>740</v>
      </c>
      <c r="B693" t="s">
        <v>24</v>
      </c>
      <c r="C693" t="s">
        <v>58</v>
      </c>
      <c r="D693" t="s">
        <v>38</v>
      </c>
      <c r="E693" s="1">
        <v>45084</v>
      </c>
      <c r="F693" s="1">
        <v>45087</v>
      </c>
      <c r="G693">
        <v>14.5</v>
      </c>
      <c r="H693">
        <v>174.22</v>
      </c>
      <c r="I693" t="s">
        <v>16</v>
      </c>
      <c r="J693">
        <v>1208</v>
      </c>
      <c r="K693">
        <v>3</v>
      </c>
    </row>
    <row r="694" spans="1:11">
      <c r="A694" t="s">
        <v>741</v>
      </c>
      <c r="B694" t="s">
        <v>13</v>
      </c>
      <c r="C694" t="s">
        <v>29</v>
      </c>
      <c r="D694" t="s">
        <v>60</v>
      </c>
      <c r="E694" s="1">
        <v>44941</v>
      </c>
      <c r="F694" s="1">
        <v>44945</v>
      </c>
      <c r="G694">
        <v>14.5</v>
      </c>
      <c r="H694">
        <v>230.05</v>
      </c>
      <c r="I694" t="s">
        <v>16</v>
      </c>
      <c r="J694">
        <v>1753</v>
      </c>
      <c r="K694">
        <v>4</v>
      </c>
    </row>
    <row r="695" spans="1:11">
      <c r="A695" t="s">
        <v>742</v>
      </c>
      <c r="B695" t="s">
        <v>13</v>
      </c>
      <c r="C695" t="s">
        <v>45</v>
      </c>
      <c r="D695" t="s">
        <v>60</v>
      </c>
      <c r="E695" s="1">
        <v>45002</v>
      </c>
      <c r="F695" s="1">
        <v>45019</v>
      </c>
      <c r="G695">
        <v>3.1</v>
      </c>
      <c r="H695">
        <v>124.09</v>
      </c>
      <c r="I695" t="s">
        <v>48</v>
      </c>
      <c r="J695">
        <v>1098</v>
      </c>
      <c r="K695">
        <v>6</v>
      </c>
    </row>
    <row r="696" spans="1:11">
      <c r="A696" t="s">
        <v>743</v>
      </c>
      <c r="B696" t="s">
        <v>57</v>
      </c>
      <c r="C696" t="s">
        <v>82</v>
      </c>
      <c r="D696" t="s">
        <v>33</v>
      </c>
      <c r="E696" s="1">
        <v>44973</v>
      </c>
      <c r="F696" s="1">
        <v>44978</v>
      </c>
      <c r="G696">
        <v>108.4</v>
      </c>
      <c r="H696">
        <v>397.96</v>
      </c>
      <c r="I696" t="s">
        <v>16</v>
      </c>
      <c r="J696">
        <v>1964</v>
      </c>
      <c r="K696">
        <v>5</v>
      </c>
    </row>
    <row r="697" spans="1:11">
      <c r="A697" t="s">
        <v>744</v>
      </c>
      <c r="B697" t="s">
        <v>57</v>
      </c>
      <c r="C697" t="s">
        <v>22</v>
      </c>
      <c r="D697" t="s">
        <v>38</v>
      </c>
      <c r="E697" s="1">
        <v>45092</v>
      </c>
      <c r="F697" s="1">
        <v>45097</v>
      </c>
      <c r="G697">
        <v>26.6</v>
      </c>
      <c r="H697">
        <v>231.19</v>
      </c>
      <c r="I697" t="s">
        <v>16</v>
      </c>
      <c r="J697">
        <v>1615</v>
      </c>
      <c r="K697">
        <v>5</v>
      </c>
    </row>
    <row r="698" spans="1:11">
      <c r="A698" t="s">
        <v>745</v>
      </c>
      <c r="B698" t="s">
        <v>52</v>
      </c>
      <c r="C698" t="s">
        <v>18</v>
      </c>
      <c r="D698" t="s">
        <v>33</v>
      </c>
      <c r="E698" s="1">
        <v>45249</v>
      </c>
      <c r="F698" s="1">
        <v>45252</v>
      </c>
      <c r="G698">
        <v>7.2</v>
      </c>
      <c r="H698">
        <v>158.85</v>
      </c>
      <c r="I698" t="s">
        <v>16</v>
      </c>
      <c r="J698">
        <v>870</v>
      </c>
      <c r="K698">
        <v>3</v>
      </c>
    </row>
    <row r="699" spans="1:11">
      <c r="A699" t="s">
        <v>746</v>
      </c>
      <c r="B699" t="s">
        <v>28</v>
      </c>
      <c r="C699" t="s">
        <v>41</v>
      </c>
      <c r="D699" t="s">
        <v>19</v>
      </c>
      <c r="E699" s="1">
        <v>45016</v>
      </c>
      <c r="F699" s="1">
        <v>45017</v>
      </c>
      <c r="G699">
        <v>17.100000000000001</v>
      </c>
      <c r="H699">
        <v>34.450000000000003</v>
      </c>
      <c r="I699" t="s">
        <v>16</v>
      </c>
      <c r="J699">
        <v>105</v>
      </c>
      <c r="K699">
        <v>1</v>
      </c>
    </row>
    <row r="700" spans="1:11">
      <c r="A700" t="s">
        <v>747</v>
      </c>
      <c r="B700" t="s">
        <v>28</v>
      </c>
      <c r="C700" t="s">
        <v>18</v>
      </c>
      <c r="D700" t="s">
        <v>15</v>
      </c>
      <c r="E700" s="1">
        <v>44944</v>
      </c>
      <c r="F700" s="1">
        <v>44946</v>
      </c>
      <c r="G700">
        <v>21.9</v>
      </c>
      <c r="H700">
        <v>83.7</v>
      </c>
      <c r="I700" t="s">
        <v>16</v>
      </c>
      <c r="J700">
        <v>472</v>
      </c>
      <c r="K700">
        <v>2</v>
      </c>
    </row>
    <row r="701" spans="1:11">
      <c r="A701" t="s">
        <v>748</v>
      </c>
      <c r="B701" t="s">
        <v>40</v>
      </c>
      <c r="C701" t="s">
        <v>29</v>
      </c>
      <c r="D701" t="s">
        <v>15</v>
      </c>
      <c r="E701" s="1">
        <v>44985</v>
      </c>
      <c r="F701" s="1">
        <v>44990</v>
      </c>
      <c r="G701">
        <v>78.2</v>
      </c>
      <c r="H701">
        <v>195.05</v>
      </c>
      <c r="I701" t="s">
        <v>48</v>
      </c>
      <c r="J701">
        <v>860</v>
      </c>
      <c r="K701">
        <v>3</v>
      </c>
    </row>
    <row r="702" spans="1:11">
      <c r="A702" t="s">
        <v>749</v>
      </c>
      <c r="B702" t="s">
        <v>31</v>
      </c>
      <c r="C702" t="s">
        <v>25</v>
      </c>
      <c r="D702" t="s">
        <v>43</v>
      </c>
      <c r="E702" s="1">
        <v>44930</v>
      </c>
      <c r="F702" s="1">
        <v>44933</v>
      </c>
      <c r="G702">
        <v>14.5</v>
      </c>
      <c r="H702">
        <v>83.98</v>
      </c>
      <c r="I702" t="s">
        <v>16</v>
      </c>
      <c r="J702">
        <v>530</v>
      </c>
      <c r="K702">
        <v>3</v>
      </c>
    </row>
    <row r="703" spans="1:11">
      <c r="A703" t="s">
        <v>750</v>
      </c>
      <c r="B703" t="s">
        <v>50</v>
      </c>
      <c r="C703" t="s">
        <v>25</v>
      </c>
      <c r="D703" t="s">
        <v>15</v>
      </c>
      <c r="E703" s="1">
        <v>45185</v>
      </c>
      <c r="F703" s="1">
        <v>45189</v>
      </c>
      <c r="G703">
        <v>17.7</v>
      </c>
      <c r="H703">
        <v>198.87</v>
      </c>
      <c r="I703" t="s">
        <v>16</v>
      </c>
      <c r="J703">
        <v>1498</v>
      </c>
      <c r="K703">
        <v>4</v>
      </c>
    </row>
    <row r="704" spans="1:11">
      <c r="A704" t="s">
        <v>751</v>
      </c>
      <c r="B704" t="s">
        <v>36</v>
      </c>
      <c r="C704" t="s">
        <v>37</v>
      </c>
      <c r="D704" t="s">
        <v>26</v>
      </c>
      <c r="E704" s="1">
        <v>44962</v>
      </c>
      <c r="F704" s="1">
        <v>44963</v>
      </c>
      <c r="G704">
        <v>14.1</v>
      </c>
      <c r="H704">
        <v>33.49</v>
      </c>
      <c r="I704" t="s">
        <v>16</v>
      </c>
      <c r="J704">
        <v>154</v>
      </c>
      <c r="K704">
        <v>1</v>
      </c>
    </row>
    <row r="705" spans="1:11">
      <c r="A705" t="s">
        <v>752</v>
      </c>
      <c r="B705" t="s">
        <v>31</v>
      </c>
      <c r="C705" t="s">
        <v>45</v>
      </c>
      <c r="D705" t="s">
        <v>60</v>
      </c>
      <c r="E705" s="1">
        <v>45165</v>
      </c>
      <c r="F705" s="1">
        <v>45166</v>
      </c>
      <c r="G705">
        <v>6.7</v>
      </c>
      <c r="H705">
        <v>52</v>
      </c>
      <c r="I705" t="s">
        <v>16</v>
      </c>
      <c r="J705">
        <v>357</v>
      </c>
      <c r="K705">
        <v>1</v>
      </c>
    </row>
    <row r="706" spans="1:11">
      <c r="A706" t="s">
        <v>753</v>
      </c>
      <c r="B706" t="s">
        <v>24</v>
      </c>
      <c r="C706" t="s">
        <v>14</v>
      </c>
      <c r="D706" t="s">
        <v>33</v>
      </c>
      <c r="E706" s="1">
        <v>45063</v>
      </c>
      <c r="F706" s="1">
        <v>45068</v>
      </c>
      <c r="G706">
        <v>11.9</v>
      </c>
      <c r="H706">
        <v>34.31</v>
      </c>
      <c r="I706" t="s">
        <v>16</v>
      </c>
      <c r="J706">
        <v>2440</v>
      </c>
      <c r="K706">
        <v>5</v>
      </c>
    </row>
    <row r="707" spans="1:11">
      <c r="A707" t="s">
        <v>754</v>
      </c>
      <c r="B707" t="s">
        <v>52</v>
      </c>
      <c r="C707" t="s">
        <v>37</v>
      </c>
      <c r="D707" t="s">
        <v>15</v>
      </c>
      <c r="E707" s="1">
        <v>45245</v>
      </c>
      <c r="F707" s="1">
        <v>45250</v>
      </c>
      <c r="G707">
        <v>60.4</v>
      </c>
      <c r="H707">
        <v>370.75</v>
      </c>
      <c r="I707" t="s">
        <v>16</v>
      </c>
      <c r="J707">
        <v>1846</v>
      </c>
      <c r="K707">
        <v>5</v>
      </c>
    </row>
    <row r="708" spans="1:11">
      <c r="A708" t="s">
        <v>755</v>
      </c>
      <c r="B708" t="s">
        <v>52</v>
      </c>
      <c r="C708" t="s">
        <v>41</v>
      </c>
      <c r="D708" t="s">
        <v>60</v>
      </c>
      <c r="E708" s="1">
        <v>45129</v>
      </c>
      <c r="F708" s="1">
        <v>45132</v>
      </c>
      <c r="G708">
        <v>12.6</v>
      </c>
      <c r="H708">
        <v>75.73</v>
      </c>
      <c r="I708" t="s">
        <v>16</v>
      </c>
      <c r="J708">
        <v>497</v>
      </c>
      <c r="K708">
        <v>3</v>
      </c>
    </row>
    <row r="709" spans="1:11">
      <c r="A709" t="s">
        <v>756</v>
      </c>
      <c r="B709" t="s">
        <v>24</v>
      </c>
      <c r="C709" t="s">
        <v>22</v>
      </c>
      <c r="D709" t="s">
        <v>19</v>
      </c>
      <c r="E709" s="1">
        <v>45044</v>
      </c>
      <c r="F709" s="1">
        <v>45047</v>
      </c>
      <c r="G709">
        <v>43.8</v>
      </c>
      <c r="H709">
        <v>143.51</v>
      </c>
      <c r="I709" t="s">
        <v>16</v>
      </c>
      <c r="J709">
        <v>632</v>
      </c>
      <c r="K709">
        <v>3</v>
      </c>
    </row>
    <row r="710" spans="1:11">
      <c r="A710" t="s">
        <v>757</v>
      </c>
      <c r="B710" t="s">
        <v>50</v>
      </c>
      <c r="C710" t="s">
        <v>82</v>
      </c>
      <c r="D710" t="s">
        <v>26</v>
      </c>
      <c r="E710" s="1">
        <v>45260</v>
      </c>
      <c r="G710">
        <v>17</v>
      </c>
      <c r="H710">
        <v>174.48</v>
      </c>
      <c r="I710" t="s">
        <v>16</v>
      </c>
      <c r="J710">
        <v>1143</v>
      </c>
      <c r="K710">
        <v>5</v>
      </c>
    </row>
    <row r="711" spans="1:11">
      <c r="A711" t="s">
        <v>758</v>
      </c>
      <c r="B711" t="s">
        <v>57</v>
      </c>
      <c r="C711" t="s">
        <v>47</v>
      </c>
      <c r="D711" t="s">
        <v>43</v>
      </c>
      <c r="E711" s="1">
        <v>45152</v>
      </c>
      <c r="F711" s="1">
        <v>45156</v>
      </c>
      <c r="G711">
        <v>27.5</v>
      </c>
      <c r="H711">
        <v>172.21</v>
      </c>
      <c r="I711" t="s">
        <v>16</v>
      </c>
      <c r="J711">
        <v>1086</v>
      </c>
      <c r="K711">
        <v>4</v>
      </c>
    </row>
    <row r="712" spans="1:11">
      <c r="A712" t="s">
        <v>759</v>
      </c>
      <c r="B712" t="s">
        <v>31</v>
      </c>
      <c r="C712" t="s">
        <v>45</v>
      </c>
      <c r="D712" t="s">
        <v>15</v>
      </c>
      <c r="E712" s="1">
        <v>45260</v>
      </c>
      <c r="F712" s="1">
        <v>45262</v>
      </c>
      <c r="G712">
        <v>30.6</v>
      </c>
      <c r="H712">
        <v>89.12</v>
      </c>
      <c r="I712" t="s">
        <v>16</v>
      </c>
      <c r="J712">
        <v>284</v>
      </c>
      <c r="K712">
        <v>2</v>
      </c>
    </row>
    <row r="713" spans="1:11">
      <c r="A713" t="s">
        <v>760</v>
      </c>
      <c r="B713" t="s">
        <v>52</v>
      </c>
      <c r="C713" t="s">
        <v>71</v>
      </c>
      <c r="D713" t="s">
        <v>43</v>
      </c>
      <c r="E713" s="1">
        <v>45229</v>
      </c>
      <c r="F713" s="1">
        <v>45233</v>
      </c>
      <c r="G713">
        <v>139.4</v>
      </c>
      <c r="H713">
        <v>415.94</v>
      </c>
      <c r="I713" t="s">
        <v>16</v>
      </c>
      <c r="J713">
        <v>1881</v>
      </c>
      <c r="K713">
        <v>4</v>
      </c>
    </row>
    <row r="714" spans="1:11">
      <c r="A714" t="s">
        <v>761</v>
      </c>
      <c r="B714" t="s">
        <v>21</v>
      </c>
      <c r="C714" t="s">
        <v>41</v>
      </c>
      <c r="D714" t="s">
        <v>60</v>
      </c>
      <c r="E714" s="1">
        <v>45249</v>
      </c>
      <c r="F714" s="1">
        <v>45256</v>
      </c>
      <c r="G714">
        <v>3.8</v>
      </c>
      <c r="H714">
        <v>206.23</v>
      </c>
      <c r="I714" t="s">
        <v>16</v>
      </c>
      <c r="J714">
        <v>1465</v>
      </c>
      <c r="K714">
        <v>7</v>
      </c>
    </row>
    <row r="715" spans="1:11">
      <c r="A715" t="s">
        <v>762</v>
      </c>
      <c r="B715" t="s">
        <v>50</v>
      </c>
      <c r="C715" t="s">
        <v>82</v>
      </c>
      <c r="D715" t="s">
        <v>15</v>
      </c>
      <c r="E715" s="1">
        <v>44980</v>
      </c>
      <c r="F715" s="1">
        <v>44984</v>
      </c>
      <c r="G715">
        <v>24.1</v>
      </c>
      <c r="H715">
        <v>148.09</v>
      </c>
      <c r="I715" t="s">
        <v>16</v>
      </c>
      <c r="J715">
        <v>1000</v>
      </c>
      <c r="K715">
        <v>4</v>
      </c>
    </row>
    <row r="716" spans="1:11">
      <c r="A716" t="s">
        <v>763</v>
      </c>
      <c r="B716" t="s">
        <v>40</v>
      </c>
      <c r="C716" t="s">
        <v>32</v>
      </c>
      <c r="D716" t="s">
        <v>43</v>
      </c>
      <c r="E716" s="1">
        <v>44954</v>
      </c>
      <c r="F716" s="1">
        <v>44963</v>
      </c>
      <c r="G716">
        <v>66.5</v>
      </c>
      <c r="H716">
        <v>345.16</v>
      </c>
      <c r="I716" t="s">
        <v>48</v>
      </c>
      <c r="J716">
        <v>2301</v>
      </c>
      <c r="K716">
        <v>7</v>
      </c>
    </row>
    <row r="717" spans="1:11">
      <c r="A717" t="s">
        <v>764</v>
      </c>
      <c r="B717" t="s">
        <v>21</v>
      </c>
      <c r="C717" t="s">
        <v>58</v>
      </c>
      <c r="D717" t="s">
        <v>43</v>
      </c>
      <c r="E717" s="1">
        <v>44997</v>
      </c>
      <c r="F717" s="1">
        <v>45003</v>
      </c>
      <c r="G717">
        <v>21.4</v>
      </c>
      <c r="H717">
        <v>92.29</v>
      </c>
      <c r="I717" t="s">
        <v>16</v>
      </c>
      <c r="J717">
        <v>623</v>
      </c>
      <c r="K717">
        <v>6</v>
      </c>
    </row>
    <row r="718" spans="1:11">
      <c r="A718" t="s">
        <v>765</v>
      </c>
      <c r="B718" t="s">
        <v>36</v>
      </c>
      <c r="C718" t="s">
        <v>22</v>
      </c>
      <c r="D718" t="s">
        <v>43</v>
      </c>
      <c r="E718" s="1">
        <v>45169</v>
      </c>
      <c r="F718" s="1">
        <v>45177</v>
      </c>
      <c r="G718">
        <v>12</v>
      </c>
      <c r="H718">
        <v>321.79000000000002</v>
      </c>
      <c r="I718" t="s">
        <v>16</v>
      </c>
      <c r="J718">
        <v>2422</v>
      </c>
      <c r="K718">
        <v>8</v>
      </c>
    </row>
    <row r="719" spans="1:11">
      <c r="A719" t="s">
        <v>766</v>
      </c>
      <c r="B719" t="s">
        <v>31</v>
      </c>
      <c r="C719" t="s">
        <v>41</v>
      </c>
      <c r="D719" t="s">
        <v>33</v>
      </c>
      <c r="E719" s="1">
        <v>45100</v>
      </c>
      <c r="F719" s="1">
        <v>45105</v>
      </c>
      <c r="G719">
        <v>19.7</v>
      </c>
      <c r="H719">
        <v>201.01</v>
      </c>
      <c r="I719" t="s">
        <v>16</v>
      </c>
      <c r="J719">
        <v>1284</v>
      </c>
      <c r="K719">
        <v>5</v>
      </c>
    </row>
    <row r="720" spans="1:11">
      <c r="A720" t="s">
        <v>767</v>
      </c>
      <c r="B720" t="s">
        <v>21</v>
      </c>
      <c r="C720" t="s">
        <v>25</v>
      </c>
      <c r="D720" t="s">
        <v>38</v>
      </c>
      <c r="E720" s="1">
        <v>45143</v>
      </c>
      <c r="F720" s="1">
        <v>45113</v>
      </c>
      <c r="G720">
        <v>35</v>
      </c>
      <c r="I720" t="s">
        <v>16</v>
      </c>
      <c r="J720">
        <v>1135</v>
      </c>
      <c r="K720">
        <v>3</v>
      </c>
    </row>
    <row r="721" spans="1:11">
      <c r="A721" t="s">
        <v>768</v>
      </c>
      <c r="B721" t="s">
        <v>57</v>
      </c>
      <c r="C721" t="s">
        <v>45</v>
      </c>
      <c r="D721" t="s">
        <v>19</v>
      </c>
      <c r="E721" s="1">
        <v>45186</v>
      </c>
      <c r="F721" s="1">
        <v>45192</v>
      </c>
      <c r="G721">
        <v>21.9</v>
      </c>
      <c r="I721" t="s">
        <v>16</v>
      </c>
      <c r="J721">
        <v>2344</v>
      </c>
      <c r="K721">
        <v>6</v>
      </c>
    </row>
    <row r="722" spans="1:11">
      <c r="A722" t="s">
        <v>769</v>
      </c>
      <c r="B722" t="s">
        <v>50</v>
      </c>
      <c r="C722" t="s">
        <v>45</v>
      </c>
      <c r="D722" t="s">
        <v>19</v>
      </c>
      <c r="E722" s="1">
        <v>44930</v>
      </c>
      <c r="F722" s="1">
        <v>44936</v>
      </c>
      <c r="G722">
        <v>19</v>
      </c>
      <c r="H722">
        <v>117.94</v>
      </c>
      <c r="I722" t="s">
        <v>48</v>
      </c>
      <c r="J722">
        <v>593</v>
      </c>
      <c r="K722">
        <v>5</v>
      </c>
    </row>
    <row r="723" spans="1:11">
      <c r="A723" t="s">
        <v>770</v>
      </c>
      <c r="B723" t="s">
        <v>52</v>
      </c>
      <c r="C723" t="s">
        <v>53</v>
      </c>
      <c r="D723" t="s">
        <v>19</v>
      </c>
      <c r="E723" s="1">
        <v>44979</v>
      </c>
      <c r="F723" s="1">
        <v>44984</v>
      </c>
      <c r="G723">
        <v>66.099999999999994</v>
      </c>
      <c r="H723">
        <v>181.39</v>
      </c>
      <c r="I723" t="s">
        <v>16</v>
      </c>
      <c r="J723">
        <v>796</v>
      </c>
      <c r="K723">
        <v>5</v>
      </c>
    </row>
    <row r="724" spans="1:11">
      <c r="A724" t="s">
        <v>771</v>
      </c>
      <c r="B724" t="s">
        <v>28</v>
      </c>
      <c r="C724" t="s">
        <v>14</v>
      </c>
      <c r="D724" t="s">
        <v>60</v>
      </c>
      <c r="E724" s="1">
        <v>45291</v>
      </c>
      <c r="F724" s="1">
        <v>45296</v>
      </c>
      <c r="G724">
        <v>23.2</v>
      </c>
      <c r="H724">
        <v>295.97000000000003</v>
      </c>
      <c r="I724" t="s">
        <v>16</v>
      </c>
      <c r="J724">
        <v>2164</v>
      </c>
      <c r="K724">
        <v>5</v>
      </c>
    </row>
    <row r="725" spans="1:11">
      <c r="A725" t="s">
        <v>772</v>
      </c>
      <c r="B725" t="s">
        <v>36</v>
      </c>
      <c r="C725" t="s">
        <v>47</v>
      </c>
      <c r="D725" t="s">
        <v>15</v>
      </c>
      <c r="E725" s="1">
        <v>45203</v>
      </c>
      <c r="F725" s="1">
        <v>45206</v>
      </c>
      <c r="G725">
        <v>16.2</v>
      </c>
      <c r="H725">
        <v>157.6</v>
      </c>
      <c r="I725" t="s">
        <v>16</v>
      </c>
      <c r="J725">
        <v>1217</v>
      </c>
      <c r="K725">
        <v>3</v>
      </c>
    </row>
    <row r="726" spans="1:11">
      <c r="A726" t="s">
        <v>773</v>
      </c>
      <c r="B726" t="s">
        <v>36</v>
      </c>
      <c r="C726" t="s">
        <v>14</v>
      </c>
      <c r="D726" t="s">
        <v>60</v>
      </c>
      <c r="E726" s="1">
        <v>44934</v>
      </c>
      <c r="F726" s="1">
        <v>44936</v>
      </c>
      <c r="G726">
        <v>14.4</v>
      </c>
      <c r="H726">
        <v>34.450000000000003</v>
      </c>
      <c r="I726" t="s">
        <v>16</v>
      </c>
      <c r="J726">
        <v>140</v>
      </c>
      <c r="K726">
        <v>2</v>
      </c>
    </row>
    <row r="727" spans="1:11">
      <c r="A727" t="s">
        <v>774</v>
      </c>
      <c r="B727" t="s">
        <v>52</v>
      </c>
      <c r="C727" t="s">
        <v>58</v>
      </c>
      <c r="D727" t="s">
        <v>60</v>
      </c>
      <c r="E727" s="1">
        <v>45121</v>
      </c>
      <c r="F727" s="1">
        <v>45126</v>
      </c>
      <c r="G727">
        <v>27.4</v>
      </c>
      <c r="H727">
        <v>178.29</v>
      </c>
      <c r="I727" t="s">
        <v>16</v>
      </c>
      <c r="J727">
        <v>1367</v>
      </c>
      <c r="K727">
        <v>5</v>
      </c>
    </row>
    <row r="728" spans="1:11">
      <c r="A728" t="s">
        <v>775</v>
      </c>
      <c r="B728" t="s">
        <v>21</v>
      </c>
      <c r="C728" t="s">
        <v>45</v>
      </c>
      <c r="D728" t="s">
        <v>15</v>
      </c>
      <c r="E728" s="1">
        <v>45123</v>
      </c>
      <c r="F728" s="1">
        <v>45130</v>
      </c>
      <c r="G728">
        <v>27.4</v>
      </c>
      <c r="H728">
        <v>286.48</v>
      </c>
      <c r="I728" t="s">
        <v>16</v>
      </c>
      <c r="J728">
        <v>2072</v>
      </c>
      <c r="K728">
        <v>7</v>
      </c>
    </row>
    <row r="729" spans="1:11">
      <c r="A729" t="s">
        <v>776</v>
      </c>
      <c r="B729" t="s">
        <v>57</v>
      </c>
      <c r="C729" t="s">
        <v>18</v>
      </c>
      <c r="D729" t="s">
        <v>60</v>
      </c>
      <c r="E729" s="1">
        <v>45053</v>
      </c>
      <c r="F729" s="1">
        <v>45058</v>
      </c>
      <c r="G729">
        <v>6.2</v>
      </c>
      <c r="H729">
        <v>25.02</v>
      </c>
      <c r="I729" t="s">
        <v>16</v>
      </c>
      <c r="J729">
        <v>150</v>
      </c>
      <c r="K729">
        <v>5</v>
      </c>
    </row>
    <row r="730" spans="1:11">
      <c r="A730" t="s">
        <v>777</v>
      </c>
      <c r="B730" t="s">
        <v>24</v>
      </c>
      <c r="C730" t="s">
        <v>53</v>
      </c>
      <c r="D730" t="s">
        <v>19</v>
      </c>
      <c r="E730" s="1">
        <v>45211</v>
      </c>
      <c r="F730" s="1">
        <v>45214</v>
      </c>
      <c r="G730">
        <v>24.1</v>
      </c>
      <c r="H730">
        <v>204.04</v>
      </c>
      <c r="I730" t="s">
        <v>16</v>
      </c>
      <c r="J730">
        <v>1168</v>
      </c>
      <c r="K730">
        <v>3</v>
      </c>
    </row>
    <row r="731" spans="1:11">
      <c r="A731" t="s">
        <v>778</v>
      </c>
      <c r="B731" t="s">
        <v>13</v>
      </c>
      <c r="C731" t="s">
        <v>82</v>
      </c>
      <c r="D731" t="s">
        <v>26</v>
      </c>
      <c r="E731" s="1">
        <v>45212</v>
      </c>
      <c r="F731" s="1">
        <v>45213</v>
      </c>
      <c r="G731">
        <v>28.8</v>
      </c>
      <c r="H731">
        <v>54.72</v>
      </c>
      <c r="I731" t="s">
        <v>16</v>
      </c>
      <c r="J731">
        <v>147</v>
      </c>
      <c r="K731">
        <v>1</v>
      </c>
    </row>
    <row r="732" spans="1:11">
      <c r="A732" t="s">
        <v>779</v>
      </c>
      <c r="B732" t="s">
        <v>52</v>
      </c>
      <c r="C732" t="s">
        <v>45</v>
      </c>
      <c r="D732" t="s">
        <v>43</v>
      </c>
      <c r="E732" s="1">
        <v>45175</v>
      </c>
      <c r="F732" s="1">
        <v>45178</v>
      </c>
      <c r="G732">
        <v>12.5</v>
      </c>
      <c r="H732">
        <v>106.43</v>
      </c>
      <c r="I732" t="s">
        <v>16</v>
      </c>
      <c r="J732">
        <v>790</v>
      </c>
      <c r="K732">
        <v>3</v>
      </c>
    </row>
    <row r="733" spans="1:11">
      <c r="A733" t="s">
        <v>780</v>
      </c>
      <c r="B733" t="s">
        <v>21</v>
      </c>
      <c r="C733" t="s">
        <v>71</v>
      </c>
      <c r="D733" t="s">
        <v>19</v>
      </c>
      <c r="E733" s="1">
        <v>44985</v>
      </c>
      <c r="F733" s="1">
        <v>44987</v>
      </c>
      <c r="G733">
        <v>48.5</v>
      </c>
      <c r="H733">
        <v>84.38</v>
      </c>
      <c r="I733" t="s">
        <v>16</v>
      </c>
      <c r="J733">
        <v>159</v>
      </c>
      <c r="K733">
        <v>2</v>
      </c>
    </row>
    <row r="734" spans="1:11">
      <c r="A734" t="s">
        <v>781</v>
      </c>
      <c r="B734" t="s">
        <v>28</v>
      </c>
      <c r="C734" t="s">
        <v>29</v>
      </c>
      <c r="D734" t="s">
        <v>43</v>
      </c>
      <c r="E734" s="1">
        <v>45254</v>
      </c>
      <c r="F734" s="1">
        <v>45263</v>
      </c>
      <c r="G734">
        <v>15</v>
      </c>
      <c r="H734">
        <v>266.52999999999997</v>
      </c>
      <c r="I734" t="s">
        <v>48</v>
      </c>
      <c r="J734">
        <v>1632</v>
      </c>
      <c r="K734">
        <v>5</v>
      </c>
    </row>
    <row r="735" spans="1:11">
      <c r="A735" t="s">
        <v>782</v>
      </c>
      <c r="B735" t="s">
        <v>57</v>
      </c>
      <c r="C735" t="s">
        <v>71</v>
      </c>
      <c r="D735" t="s">
        <v>26</v>
      </c>
      <c r="E735" s="1">
        <v>44939</v>
      </c>
      <c r="F735" s="1">
        <v>44941</v>
      </c>
      <c r="G735">
        <v>12</v>
      </c>
      <c r="H735">
        <v>95.74</v>
      </c>
      <c r="I735" t="s">
        <v>16</v>
      </c>
      <c r="J735">
        <v>607</v>
      </c>
      <c r="K735">
        <v>2</v>
      </c>
    </row>
    <row r="736" spans="1:11">
      <c r="A736" t="s">
        <v>783</v>
      </c>
      <c r="B736" t="s">
        <v>28</v>
      </c>
      <c r="C736" t="s">
        <v>41</v>
      </c>
      <c r="D736" t="s">
        <v>33</v>
      </c>
      <c r="E736" s="1">
        <v>45237</v>
      </c>
      <c r="F736" s="1">
        <v>45242</v>
      </c>
      <c r="G736">
        <v>39.9</v>
      </c>
      <c r="H736">
        <v>138.47</v>
      </c>
      <c r="I736" t="s">
        <v>16</v>
      </c>
      <c r="J736">
        <v>475</v>
      </c>
      <c r="K736">
        <v>5</v>
      </c>
    </row>
    <row r="737" spans="1:11">
      <c r="A737" t="s">
        <v>784</v>
      </c>
      <c r="B737" t="s">
        <v>24</v>
      </c>
      <c r="C737" t="s">
        <v>22</v>
      </c>
      <c r="D737" t="s">
        <v>33</v>
      </c>
      <c r="E737" s="1">
        <v>45071</v>
      </c>
      <c r="F737" s="1">
        <v>45075</v>
      </c>
      <c r="G737">
        <v>6.6</v>
      </c>
      <c r="H737">
        <v>199.12</v>
      </c>
      <c r="I737" t="s">
        <v>16</v>
      </c>
      <c r="J737">
        <v>1370</v>
      </c>
      <c r="K737">
        <v>4</v>
      </c>
    </row>
    <row r="738" spans="1:11">
      <c r="A738" t="s">
        <v>785</v>
      </c>
      <c r="B738" t="s">
        <v>57</v>
      </c>
      <c r="C738" t="s">
        <v>71</v>
      </c>
      <c r="D738" t="s">
        <v>43</v>
      </c>
      <c r="E738" s="1">
        <v>45226</v>
      </c>
      <c r="F738" s="1">
        <v>45232</v>
      </c>
      <c r="G738">
        <v>474.2</v>
      </c>
      <c r="H738">
        <v>341.15</v>
      </c>
      <c r="I738" t="s">
        <v>16</v>
      </c>
      <c r="J738">
        <v>2200</v>
      </c>
      <c r="K738">
        <v>6</v>
      </c>
    </row>
    <row r="739" spans="1:11">
      <c r="A739" t="s">
        <v>786</v>
      </c>
      <c r="B739" t="s">
        <v>31</v>
      </c>
      <c r="C739" t="s">
        <v>55</v>
      </c>
      <c r="D739" t="s">
        <v>60</v>
      </c>
      <c r="E739" s="1">
        <v>45119</v>
      </c>
      <c r="F739" s="1">
        <v>45125</v>
      </c>
      <c r="G739">
        <v>15.1</v>
      </c>
      <c r="H739">
        <v>236.63</v>
      </c>
      <c r="I739" t="s">
        <v>63</v>
      </c>
      <c r="J739">
        <v>1795</v>
      </c>
      <c r="K739">
        <v>6</v>
      </c>
    </row>
    <row r="740" spans="1:11">
      <c r="A740" t="s">
        <v>787</v>
      </c>
      <c r="B740" t="s">
        <v>57</v>
      </c>
      <c r="C740" t="s">
        <v>53</v>
      </c>
      <c r="D740" t="s">
        <v>33</v>
      </c>
      <c r="E740" s="1">
        <v>44981</v>
      </c>
      <c r="F740" s="1">
        <v>44986</v>
      </c>
      <c r="G740">
        <v>32</v>
      </c>
      <c r="H740">
        <v>340.57</v>
      </c>
      <c r="I740" t="s">
        <v>16</v>
      </c>
      <c r="J740">
        <v>2208</v>
      </c>
      <c r="K740">
        <v>5</v>
      </c>
    </row>
    <row r="741" spans="1:11">
      <c r="A741" t="s">
        <v>788</v>
      </c>
      <c r="B741" t="s">
        <v>40</v>
      </c>
      <c r="C741" t="s">
        <v>47</v>
      </c>
      <c r="D741" t="s">
        <v>60</v>
      </c>
      <c r="E741" s="1">
        <v>45230</v>
      </c>
      <c r="F741" s="1">
        <v>45232</v>
      </c>
      <c r="G741">
        <v>14.5</v>
      </c>
      <c r="H741">
        <v>86.35</v>
      </c>
      <c r="I741" t="s">
        <v>16</v>
      </c>
      <c r="J741">
        <v>585</v>
      </c>
      <c r="K741">
        <v>2</v>
      </c>
    </row>
    <row r="742" spans="1:11">
      <c r="A742" t="s">
        <v>789</v>
      </c>
      <c r="B742" t="s">
        <v>57</v>
      </c>
      <c r="C742" t="s">
        <v>53</v>
      </c>
      <c r="D742" t="s">
        <v>38</v>
      </c>
      <c r="E742" s="1">
        <v>45278</v>
      </c>
      <c r="F742" s="1">
        <v>45287</v>
      </c>
      <c r="G742">
        <v>9.1999999999999993</v>
      </c>
      <c r="H742">
        <v>141.68</v>
      </c>
      <c r="I742" t="s">
        <v>48</v>
      </c>
      <c r="J742">
        <v>974</v>
      </c>
      <c r="K742">
        <v>3</v>
      </c>
    </row>
    <row r="743" spans="1:11">
      <c r="A743" t="s">
        <v>790</v>
      </c>
      <c r="B743" t="s">
        <v>21</v>
      </c>
      <c r="C743" t="s">
        <v>18</v>
      </c>
      <c r="D743" t="s">
        <v>33</v>
      </c>
      <c r="E743" s="1">
        <v>45106</v>
      </c>
      <c r="F743" s="1">
        <v>45111</v>
      </c>
      <c r="G743">
        <v>32.200000000000003</v>
      </c>
      <c r="H743">
        <v>247.76</v>
      </c>
      <c r="I743" t="s">
        <v>16</v>
      </c>
      <c r="J743">
        <v>1610</v>
      </c>
      <c r="K743">
        <v>5</v>
      </c>
    </row>
    <row r="744" spans="1:11">
      <c r="A744" t="s">
        <v>791</v>
      </c>
      <c r="B744" t="s">
        <v>40</v>
      </c>
      <c r="C744" t="s">
        <v>82</v>
      </c>
      <c r="D744" t="s">
        <v>33</v>
      </c>
      <c r="E744" s="1">
        <v>45226</v>
      </c>
      <c r="F744" s="1">
        <v>45230</v>
      </c>
      <c r="G744">
        <v>27.1</v>
      </c>
      <c r="H744">
        <v>165.65</v>
      </c>
      <c r="I744" t="s">
        <v>16</v>
      </c>
      <c r="J744">
        <v>1030</v>
      </c>
      <c r="K744">
        <v>4</v>
      </c>
    </row>
    <row r="745" spans="1:11">
      <c r="A745" t="s">
        <v>792</v>
      </c>
      <c r="B745" t="s">
        <v>40</v>
      </c>
      <c r="C745" t="s">
        <v>47</v>
      </c>
      <c r="D745" t="s">
        <v>43</v>
      </c>
      <c r="E745" s="1">
        <v>45048</v>
      </c>
      <c r="F745" s="1">
        <v>45057</v>
      </c>
      <c r="G745">
        <v>22.8</v>
      </c>
      <c r="H745">
        <v>342.44</v>
      </c>
      <c r="I745" t="s">
        <v>16</v>
      </c>
      <c r="J745">
        <v>2380</v>
      </c>
      <c r="K745">
        <v>9</v>
      </c>
    </row>
    <row r="746" spans="1:11">
      <c r="A746" t="s">
        <v>793</v>
      </c>
      <c r="B746" t="s">
        <v>40</v>
      </c>
      <c r="C746" t="s">
        <v>18</v>
      </c>
      <c r="D746" t="s">
        <v>33</v>
      </c>
      <c r="E746" s="1">
        <v>44995</v>
      </c>
      <c r="F746" s="1">
        <v>44997</v>
      </c>
      <c r="G746">
        <v>10.199999999999999</v>
      </c>
      <c r="H746">
        <v>111.08</v>
      </c>
      <c r="I746" t="s">
        <v>16</v>
      </c>
      <c r="J746">
        <v>800</v>
      </c>
      <c r="K746">
        <v>2</v>
      </c>
    </row>
    <row r="747" spans="1:11">
      <c r="A747" t="s">
        <v>794</v>
      </c>
      <c r="B747" t="s">
        <v>52</v>
      </c>
      <c r="C747" t="s">
        <v>55</v>
      </c>
      <c r="D747" t="s">
        <v>38</v>
      </c>
      <c r="E747" s="1">
        <v>45148</v>
      </c>
      <c r="F747" s="1">
        <v>45152</v>
      </c>
      <c r="G747">
        <v>30.8</v>
      </c>
      <c r="H747">
        <v>255.81</v>
      </c>
      <c r="I747" t="s">
        <v>16</v>
      </c>
      <c r="J747">
        <v>1692</v>
      </c>
      <c r="K747">
        <v>4</v>
      </c>
    </row>
    <row r="748" spans="1:11">
      <c r="A748" t="s">
        <v>795</v>
      </c>
      <c r="B748" t="s">
        <v>24</v>
      </c>
      <c r="C748" t="s">
        <v>55</v>
      </c>
      <c r="D748" t="s">
        <v>60</v>
      </c>
      <c r="E748" s="1">
        <v>45019</v>
      </c>
      <c r="F748" s="1">
        <v>45021</v>
      </c>
      <c r="G748">
        <v>11.9</v>
      </c>
      <c r="H748">
        <v>139.28</v>
      </c>
      <c r="I748" t="s">
        <v>16</v>
      </c>
      <c r="J748">
        <v>1032</v>
      </c>
      <c r="K748">
        <v>2</v>
      </c>
    </row>
    <row r="749" spans="1:11">
      <c r="A749" t="s">
        <v>796</v>
      </c>
      <c r="B749" t="s">
        <v>31</v>
      </c>
      <c r="C749" t="s">
        <v>71</v>
      </c>
      <c r="D749" t="s">
        <v>60</v>
      </c>
      <c r="E749" s="1">
        <v>44951</v>
      </c>
      <c r="F749" s="1">
        <v>44953</v>
      </c>
      <c r="G749">
        <v>16.8</v>
      </c>
      <c r="H749">
        <v>124.3</v>
      </c>
      <c r="I749" t="s">
        <v>16</v>
      </c>
      <c r="J749">
        <v>1003</v>
      </c>
      <c r="K749">
        <v>2</v>
      </c>
    </row>
    <row r="750" spans="1:11">
      <c r="A750" t="s">
        <v>797</v>
      </c>
      <c r="B750" t="s">
        <v>28</v>
      </c>
      <c r="C750" t="s">
        <v>53</v>
      </c>
      <c r="D750" t="s">
        <v>15</v>
      </c>
      <c r="E750" s="1">
        <v>45212</v>
      </c>
      <c r="F750" s="1">
        <v>45214</v>
      </c>
      <c r="G750">
        <v>7.2</v>
      </c>
      <c r="H750">
        <v>59.98</v>
      </c>
      <c r="I750" t="s">
        <v>16</v>
      </c>
      <c r="J750">
        <v>367</v>
      </c>
      <c r="K750">
        <v>2</v>
      </c>
    </row>
    <row r="751" spans="1:11">
      <c r="A751" t="s">
        <v>798</v>
      </c>
      <c r="B751" t="s">
        <v>50</v>
      </c>
      <c r="C751" t="s">
        <v>55</v>
      </c>
      <c r="D751" t="s">
        <v>43</v>
      </c>
      <c r="E751" s="1">
        <v>45290</v>
      </c>
      <c r="F751" s="1">
        <v>45297</v>
      </c>
      <c r="G751">
        <v>11.6</v>
      </c>
      <c r="H751">
        <v>264.5</v>
      </c>
      <c r="I751" t="s">
        <v>16</v>
      </c>
      <c r="J751">
        <v>1614</v>
      </c>
      <c r="K751">
        <v>7</v>
      </c>
    </row>
    <row r="752" spans="1:11">
      <c r="A752" t="s">
        <v>799</v>
      </c>
      <c r="B752" t="s">
        <v>21</v>
      </c>
      <c r="C752" t="s">
        <v>37</v>
      </c>
      <c r="D752" t="s">
        <v>43</v>
      </c>
      <c r="E752" s="1">
        <v>45052</v>
      </c>
      <c r="F752" s="1">
        <v>45057</v>
      </c>
      <c r="G752">
        <v>7.8</v>
      </c>
      <c r="H752">
        <v>53.18</v>
      </c>
      <c r="I752" t="s">
        <v>16</v>
      </c>
      <c r="J752">
        <v>402</v>
      </c>
      <c r="K752">
        <v>5</v>
      </c>
    </row>
    <row r="753" spans="1:11">
      <c r="A753" t="s">
        <v>800</v>
      </c>
      <c r="B753" t="s">
        <v>24</v>
      </c>
      <c r="C753" t="s">
        <v>53</v>
      </c>
      <c r="D753" t="s">
        <v>43</v>
      </c>
      <c r="E753" s="1">
        <v>45160</v>
      </c>
      <c r="F753" s="1">
        <v>45171</v>
      </c>
      <c r="G753">
        <v>43.8</v>
      </c>
      <c r="H753">
        <v>138.22999999999999</v>
      </c>
      <c r="I753" t="s">
        <v>48</v>
      </c>
      <c r="J753">
        <v>691</v>
      </c>
      <c r="K753">
        <v>3</v>
      </c>
    </row>
    <row r="754" spans="1:11">
      <c r="A754" t="s">
        <v>801</v>
      </c>
      <c r="B754" t="s">
        <v>57</v>
      </c>
      <c r="C754" t="s">
        <v>55</v>
      </c>
      <c r="D754" t="s">
        <v>60</v>
      </c>
      <c r="E754" s="1">
        <v>45127</v>
      </c>
      <c r="F754" s="1">
        <v>45129</v>
      </c>
      <c r="G754">
        <v>10.1</v>
      </c>
      <c r="H754">
        <v>61.2</v>
      </c>
      <c r="I754" t="s">
        <v>16</v>
      </c>
      <c r="J754">
        <v>469</v>
      </c>
      <c r="K754">
        <v>2</v>
      </c>
    </row>
    <row r="755" spans="1:11">
      <c r="A755" t="s">
        <v>802</v>
      </c>
      <c r="B755" t="s">
        <v>13</v>
      </c>
      <c r="C755" t="s">
        <v>41</v>
      </c>
      <c r="D755" t="s">
        <v>60</v>
      </c>
      <c r="E755" s="1">
        <v>45160</v>
      </c>
      <c r="F755" s="1">
        <v>45168</v>
      </c>
      <c r="G755">
        <v>24.7</v>
      </c>
      <c r="H755">
        <v>280.23</v>
      </c>
      <c r="I755" t="s">
        <v>16</v>
      </c>
      <c r="J755">
        <v>2030</v>
      </c>
      <c r="K755">
        <v>8</v>
      </c>
    </row>
    <row r="756" spans="1:11">
      <c r="A756" t="s">
        <v>803</v>
      </c>
      <c r="B756" t="s">
        <v>57</v>
      </c>
      <c r="C756" t="s">
        <v>58</v>
      </c>
      <c r="D756" t="s">
        <v>33</v>
      </c>
      <c r="E756" s="1">
        <v>45206</v>
      </c>
      <c r="F756" s="1">
        <v>45209</v>
      </c>
      <c r="G756">
        <v>26.5</v>
      </c>
      <c r="H756">
        <v>155.19999999999999</v>
      </c>
      <c r="I756" t="s">
        <v>16</v>
      </c>
      <c r="J756">
        <v>810</v>
      </c>
      <c r="K756">
        <v>3</v>
      </c>
    </row>
    <row r="757" spans="1:11">
      <c r="A757" t="s">
        <v>804</v>
      </c>
      <c r="B757" t="s">
        <v>21</v>
      </c>
      <c r="C757" t="s">
        <v>14</v>
      </c>
      <c r="D757" t="s">
        <v>43</v>
      </c>
      <c r="E757" s="1">
        <v>45266</v>
      </c>
      <c r="F757" s="1">
        <v>45269</v>
      </c>
      <c r="G757">
        <v>6.2</v>
      </c>
      <c r="H757">
        <v>111.44</v>
      </c>
      <c r="I757" t="s">
        <v>16</v>
      </c>
      <c r="J757">
        <v>735</v>
      </c>
      <c r="K757">
        <v>3</v>
      </c>
    </row>
    <row r="758" spans="1:11">
      <c r="A758" t="s">
        <v>805</v>
      </c>
      <c r="B758" t="s">
        <v>57</v>
      </c>
      <c r="C758" t="s">
        <v>58</v>
      </c>
      <c r="D758" t="s">
        <v>19</v>
      </c>
      <c r="E758" s="1">
        <v>45029</v>
      </c>
      <c r="F758" s="1">
        <v>45031</v>
      </c>
      <c r="G758">
        <v>10</v>
      </c>
      <c r="H758">
        <v>45.28</v>
      </c>
      <c r="I758" t="s">
        <v>16</v>
      </c>
      <c r="J758">
        <v>236</v>
      </c>
      <c r="K758">
        <v>2</v>
      </c>
    </row>
    <row r="759" spans="1:11">
      <c r="A759" t="s">
        <v>806</v>
      </c>
      <c r="B759" t="s">
        <v>50</v>
      </c>
      <c r="C759" t="s">
        <v>53</v>
      </c>
      <c r="D759" t="s">
        <v>19</v>
      </c>
      <c r="E759" s="1">
        <v>45028</v>
      </c>
      <c r="F759" s="1">
        <v>45033</v>
      </c>
      <c r="G759">
        <v>9.5</v>
      </c>
      <c r="H759">
        <v>194.71</v>
      </c>
      <c r="I759" t="s">
        <v>16</v>
      </c>
      <c r="J759">
        <v>1346</v>
      </c>
      <c r="K759">
        <v>5</v>
      </c>
    </row>
    <row r="760" spans="1:11">
      <c r="A760" t="s">
        <v>807</v>
      </c>
      <c r="B760" t="s">
        <v>40</v>
      </c>
      <c r="C760" t="s">
        <v>82</v>
      </c>
      <c r="D760" t="s">
        <v>15</v>
      </c>
      <c r="E760" s="1">
        <v>45043</v>
      </c>
      <c r="G760">
        <v>12.1</v>
      </c>
      <c r="H760">
        <v>140.94</v>
      </c>
      <c r="I760" t="s">
        <v>16</v>
      </c>
      <c r="J760">
        <v>1030</v>
      </c>
      <c r="K760">
        <v>3</v>
      </c>
    </row>
    <row r="761" spans="1:11">
      <c r="A761" t="s">
        <v>808</v>
      </c>
      <c r="B761" t="s">
        <v>50</v>
      </c>
      <c r="C761" t="s">
        <v>45</v>
      </c>
      <c r="D761" t="s">
        <v>60</v>
      </c>
      <c r="E761" s="1">
        <v>45162</v>
      </c>
      <c r="F761" s="1">
        <v>45166</v>
      </c>
      <c r="G761">
        <v>71</v>
      </c>
      <c r="H761">
        <v>148.26</v>
      </c>
      <c r="I761" t="s">
        <v>16</v>
      </c>
      <c r="J761">
        <v>706</v>
      </c>
      <c r="K761">
        <v>4</v>
      </c>
    </row>
    <row r="762" spans="1:11">
      <c r="A762" t="s">
        <v>809</v>
      </c>
      <c r="B762" t="s">
        <v>24</v>
      </c>
      <c r="C762" t="s">
        <v>55</v>
      </c>
      <c r="D762" t="s">
        <v>19</v>
      </c>
      <c r="E762" s="1">
        <v>45156</v>
      </c>
      <c r="F762" s="1">
        <v>45164</v>
      </c>
      <c r="G762">
        <v>35.299999999999997</v>
      </c>
      <c r="H762">
        <v>212.84</v>
      </c>
      <c r="I762" t="s">
        <v>16</v>
      </c>
      <c r="J762">
        <v>1056</v>
      </c>
      <c r="K762">
        <v>8</v>
      </c>
    </row>
    <row r="763" spans="1:11">
      <c r="A763" t="s">
        <v>810</v>
      </c>
      <c r="B763" t="s">
        <v>57</v>
      </c>
      <c r="C763" t="s">
        <v>55</v>
      </c>
      <c r="D763" t="s">
        <v>19</v>
      </c>
      <c r="E763" s="1">
        <v>45114</v>
      </c>
      <c r="F763" s="1">
        <v>45119</v>
      </c>
      <c r="G763">
        <v>18.100000000000001</v>
      </c>
      <c r="H763">
        <v>229.06</v>
      </c>
      <c r="I763" t="s">
        <v>16</v>
      </c>
      <c r="J763">
        <v>1660</v>
      </c>
      <c r="K763">
        <v>5</v>
      </c>
    </row>
    <row r="764" spans="1:11">
      <c r="A764" t="s">
        <v>811</v>
      </c>
      <c r="B764" t="s">
        <v>40</v>
      </c>
      <c r="C764" t="s">
        <v>71</v>
      </c>
      <c r="D764" t="s">
        <v>15</v>
      </c>
      <c r="E764" s="1">
        <v>45234</v>
      </c>
      <c r="F764" s="1">
        <v>45240</v>
      </c>
      <c r="G764">
        <v>10.3</v>
      </c>
      <c r="H764">
        <v>332.84</v>
      </c>
      <c r="I764" t="s">
        <v>16</v>
      </c>
      <c r="J764">
        <v>2174</v>
      </c>
      <c r="K764">
        <v>6</v>
      </c>
    </row>
    <row r="765" spans="1:11">
      <c r="A765" t="s">
        <v>812</v>
      </c>
      <c r="B765" t="s">
        <v>21</v>
      </c>
      <c r="C765" t="s">
        <v>45</v>
      </c>
      <c r="D765" t="s">
        <v>38</v>
      </c>
      <c r="E765" s="1">
        <v>45035</v>
      </c>
      <c r="F765" s="1">
        <v>45039</v>
      </c>
      <c r="G765">
        <v>72.900000000000006</v>
      </c>
      <c r="H765">
        <v>236.99</v>
      </c>
      <c r="I765" t="s">
        <v>16</v>
      </c>
      <c r="J765">
        <v>1270</v>
      </c>
      <c r="K765">
        <v>4</v>
      </c>
    </row>
    <row r="766" spans="1:11">
      <c r="A766" t="s">
        <v>813</v>
      </c>
      <c r="B766" t="s">
        <v>57</v>
      </c>
      <c r="C766" t="s">
        <v>37</v>
      </c>
      <c r="D766" t="s">
        <v>60</v>
      </c>
      <c r="E766" s="1">
        <v>44946</v>
      </c>
      <c r="F766" s="1">
        <v>44951</v>
      </c>
      <c r="G766">
        <v>18.7</v>
      </c>
      <c r="H766">
        <v>312.02</v>
      </c>
      <c r="I766" t="s">
        <v>16</v>
      </c>
      <c r="J766">
        <v>2308</v>
      </c>
      <c r="K766">
        <v>5</v>
      </c>
    </row>
    <row r="767" spans="1:11">
      <c r="A767" t="s">
        <v>814</v>
      </c>
      <c r="B767" t="s">
        <v>24</v>
      </c>
      <c r="C767" t="s">
        <v>22</v>
      </c>
      <c r="D767" t="s">
        <v>43</v>
      </c>
      <c r="E767" s="1">
        <v>44940</v>
      </c>
      <c r="F767" s="1">
        <v>44942</v>
      </c>
      <c r="G767">
        <v>39.6</v>
      </c>
      <c r="H767">
        <v>90.47</v>
      </c>
      <c r="I767" t="s">
        <v>16</v>
      </c>
      <c r="J767">
        <v>307</v>
      </c>
      <c r="K767">
        <v>2</v>
      </c>
    </row>
    <row r="768" spans="1:11">
      <c r="A768" t="s">
        <v>815</v>
      </c>
      <c r="B768" t="s">
        <v>13</v>
      </c>
      <c r="C768" t="s">
        <v>53</v>
      </c>
      <c r="D768" t="s">
        <v>43</v>
      </c>
      <c r="E768" s="1">
        <v>45063</v>
      </c>
      <c r="F768" s="1">
        <v>45067</v>
      </c>
      <c r="G768">
        <v>10.8</v>
      </c>
      <c r="H768">
        <v>125.78</v>
      </c>
      <c r="I768" t="s">
        <v>16</v>
      </c>
      <c r="J768">
        <v>912</v>
      </c>
      <c r="K768">
        <v>4</v>
      </c>
    </row>
    <row r="769" spans="1:11">
      <c r="A769" t="s">
        <v>816</v>
      </c>
      <c r="B769" t="s">
        <v>21</v>
      </c>
      <c r="C769" t="s">
        <v>29</v>
      </c>
      <c r="D769" t="s">
        <v>33</v>
      </c>
      <c r="E769" s="1">
        <v>44942</v>
      </c>
      <c r="F769" s="1">
        <v>44947</v>
      </c>
      <c r="G769">
        <v>48.5</v>
      </c>
      <c r="H769">
        <v>261.64</v>
      </c>
      <c r="I769" t="s">
        <v>16</v>
      </c>
      <c r="J769">
        <v>1435</v>
      </c>
      <c r="K769">
        <v>5</v>
      </c>
    </row>
    <row r="770" spans="1:11">
      <c r="A770" t="s">
        <v>817</v>
      </c>
      <c r="B770" t="s">
        <v>13</v>
      </c>
      <c r="C770" t="s">
        <v>45</v>
      </c>
      <c r="D770" t="s">
        <v>19</v>
      </c>
      <c r="E770" s="1">
        <v>45162</v>
      </c>
      <c r="F770" s="1">
        <v>45167</v>
      </c>
      <c r="G770">
        <v>57.5</v>
      </c>
      <c r="H770">
        <v>257.60000000000002</v>
      </c>
      <c r="I770" t="s">
        <v>48</v>
      </c>
      <c r="J770">
        <v>1260</v>
      </c>
      <c r="K770">
        <v>3</v>
      </c>
    </row>
    <row r="771" spans="1:11">
      <c r="A771" t="s">
        <v>818</v>
      </c>
      <c r="B771" t="s">
        <v>57</v>
      </c>
      <c r="C771" t="s">
        <v>32</v>
      </c>
      <c r="D771" t="s">
        <v>60</v>
      </c>
      <c r="E771" s="1">
        <v>45113</v>
      </c>
      <c r="F771" s="1">
        <v>45117</v>
      </c>
      <c r="G771">
        <v>13.6</v>
      </c>
      <c r="H771">
        <v>204.17</v>
      </c>
      <c r="I771" t="s">
        <v>16</v>
      </c>
      <c r="J771">
        <v>1646</v>
      </c>
      <c r="K771">
        <v>4</v>
      </c>
    </row>
    <row r="772" spans="1:11">
      <c r="A772" t="s">
        <v>819</v>
      </c>
      <c r="B772" t="s">
        <v>36</v>
      </c>
      <c r="C772" t="s">
        <v>47</v>
      </c>
      <c r="D772" t="s">
        <v>15</v>
      </c>
      <c r="E772" s="1">
        <v>45031</v>
      </c>
      <c r="F772" s="1">
        <v>45037</v>
      </c>
      <c r="G772">
        <v>7.7</v>
      </c>
      <c r="H772">
        <v>284.58999999999997</v>
      </c>
      <c r="I772" t="s">
        <v>16</v>
      </c>
      <c r="J772">
        <v>2012</v>
      </c>
      <c r="K772">
        <v>6</v>
      </c>
    </row>
    <row r="773" spans="1:11">
      <c r="A773" t="s">
        <v>820</v>
      </c>
      <c r="B773" t="s">
        <v>36</v>
      </c>
      <c r="C773" t="s">
        <v>41</v>
      </c>
      <c r="D773" t="s">
        <v>33</v>
      </c>
      <c r="E773" s="1">
        <v>45154</v>
      </c>
      <c r="F773" s="1">
        <v>45156</v>
      </c>
      <c r="G773">
        <v>41.8</v>
      </c>
      <c r="H773">
        <v>84.62</v>
      </c>
      <c r="I773" t="s">
        <v>16</v>
      </c>
      <c r="J773">
        <v>283</v>
      </c>
      <c r="K773">
        <v>2</v>
      </c>
    </row>
    <row r="774" spans="1:11">
      <c r="A774" t="s">
        <v>821</v>
      </c>
      <c r="B774" t="s">
        <v>21</v>
      </c>
      <c r="C774" t="s">
        <v>14</v>
      </c>
      <c r="D774" t="s">
        <v>60</v>
      </c>
      <c r="E774" s="1">
        <v>45078</v>
      </c>
      <c r="F774" s="1">
        <v>45081</v>
      </c>
      <c r="G774">
        <v>43.9</v>
      </c>
      <c r="H774">
        <v>222.74</v>
      </c>
      <c r="I774" t="s">
        <v>16</v>
      </c>
      <c r="J774">
        <v>1342</v>
      </c>
      <c r="K774">
        <v>3</v>
      </c>
    </row>
    <row r="775" spans="1:11">
      <c r="A775" t="s">
        <v>822</v>
      </c>
      <c r="B775" t="s">
        <v>50</v>
      </c>
      <c r="C775" t="s">
        <v>53</v>
      </c>
      <c r="D775" t="s">
        <v>15</v>
      </c>
      <c r="E775" s="1">
        <v>45136</v>
      </c>
      <c r="F775" s="1">
        <v>45142</v>
      </c>
      <c r="G775">
        <v>30</v>
      </c>
      <c r="H775">
        <v>266.62</v>
      </c>
      <c r="I775" t="s">
        <v>16</v>
      </c>
      <c r="J775">
        <v>2030</v>
      </c>
      <c r="K775">
        <v>6</v>
      </c>
    </row>
    <row r="776" spans="1:11">
      <c r="A776" t="s">
        <v>823</v>
      </c>
      <c r="B776" t="s">
        <v>50</v>
      </c>
      <c r="C776" t="s">
        <v>32</v>
      </c>
      <c r="D776" t="s">
        <v>19</v>
      </c>
      <c r="E776" s="1">
        <v>45027</v>
      </c>
      <c r="F776" s="1">
        <v>45043</v>
      </c>
      <c r="G776">
        <v>73.599999999999994</v>
      </c>
      <c r="H776">
        <v>437.29</v>
      </c>
      <c r="I776" t="s">
        <v>48</v>
      </c>
      <c r="J776">
        <v>2241</v>
      </c>
      <c r="K776">
        <v>6</v>
      </c>
    </row>
    <row r="777" spans="1:11">
      <c r="A777" t="s">
        <v>824</v>
      </c>
      <c r="B777" t="s">
        <v>13</v>
      </c>
      <c r="C777" t="s">
        <v>55</v>
      </c>
      <c r="D777" t="s">
        <v>43</v>
      </c>
      <c r="E777" s="1">
        <v>45232</v>
      </c>
      <c r="F777" s="1">
        <v>45237</v>
      </c>
      <c r="G777">
        <v>23.2</v>
      </c>
      <c r="H777">
        <v>51.9</v>
      </c>
      <c r="I777" t="s">
        <v>16</v>
      </c>
      <c r="J777">
        <v>147</v>
      </c>
      <c r="K777">
        <v>5</v>
      </c>
    </row>
    <row r="778" spans="1:11">
      <c r="A778" t="s">
        <v>825</v>
      </c>
      <c r="B778" t="s">
        <v>28</v>
      </c>
      <c r="C778" t="s">
        <v>45</v>
      </c>
      <c r="D778" t="s">
        <v>38</v>
      </c>
      <c r="E778" s="1">
        <v>45178</v>
      </c>
      <c r="F778" s="1">
        <v>45182</v>
      </c>
      <c r="G778">
        <v>23.2</v>
      </c>
      <c r="H778">
        <v>191.94</v>
      </c>
      <c r="I778" t="s">
        <v>16</v>
      </c>
      <c r="J778">
        <v>1277</v>
      </c>
      <c r="K778">
        <v>4</v>
      </c>
    </row>
    <row r="779" spans="1:11">
      <c r="A779" t="s">
        <v>826</v>
      </c>
      <c r="B779" t="s">
        <v>31</v>
      </c>
      <c r="C779" t="s">
        <v>47</v>
      </c>
      <c r="D779" t="s">
        <v>15</v>
      </c>
      <c r="E779" s="1">
        <v>45200</v>
      </c>
      <c r="F779" s="1">
        <v>45212</v>
      </c>
      <c r="G779">
        <v>38</v>
      </c>
      <c r="H779">
        <v>108.83</v>
      </c>
      <c r="I779" t="s">
        <v>48</v>
      </c>
      <c r="J779">
        <v>527</v>
      </c>
      <c r="K779">
        <v>2</v>
      </c>
    </row>
    <row r="780" spans="1:11">
      <c r="A780" t="s">
        <v>827</v>
      </c>
      <c r="B780" t="s">
        <v>24</v>
      </c>
      <c r="C780" t="s">
        <v>37</v>
      </c>
      <c r="D780" t="s">
        <v>26</v>
      </c>
      <c r="E780" s="1">
        <v>45195</v>
      </c>
      <c r="F780" s="1">
        <v>45199</v>
      </c>
      <c r="G780">
        <v>12.8</v>
      </c>
      <c r="H780">
        <v>147.18</v>
      </c>
      <c r="I780" t="s">
        <v>16</v>
      </c>
      <c r="J780">
        <v>1012</v>
      </c>
      <c r="K780">
        <v>4</v>
      </c>
    </row>
    <row r="781" spans="1:11">
      <c r="A781" t="s">
        <v>828</v>
      </c>
      <c r="B781" t="s">
        <v>31</v>
      </c>
      <c r="C781" t="s">
        <v>37</v>
      </c>
      <c r="D781" t="s">
        <v>60</v>
      </c>
      <c r="E781" s="1">
        <v>44981</v>
      </c>
      <c r="F781" s="1">
        <v>44984</v>
      </c>
      <c r="G781">
        <v>103.4</v>
      </c>
      <c r="H781">
        <v>226.95</v>
      </c>
      <c r="I781" t="s">
        <v>16</v>
      </c>
      <c r="J781">
        <v>779</v>
      </c>
      <c r="K781">
        <v>3</v>
      </c>
    </row>
    <row r="782" spans="1:11">
      <c r="A782" t="s">
        <v>829</v>
      </c>
      <c r="B782" t="s">
        <v>31</v>
      </c>
      <c r="C782" t="s">
        <v>45</v>
      </c>
      <c r="D782" t="s">
        <v>38</v>
      </c>
      <c r="E782" s="1">
        <v>45211</v>
      </c>
      <c r="F782" s="1">
        <v>45220</v>
      </c>
      <c r="G782">
        <v>44.1</v>
      </c>
      <c r="H782">
        <v>319.83999999999997</v>
      </c>
      <c r="I782" t="s">
        <v>16</v>
      </c>
      <c r="J782">
        <v>2372</v>
      </c>
      <c r="K782">
        <v>9</v>
      </c>
    </row>
    <row r="783" spans="1:11">
      <c r="A783" t="s">
        <v>830</v>
      </c>
      <c r="B783" t="s">
        <v>28</v>
      </c>
      <c r="C783" t="s">
        <v>29</v>
      </c>
      <c r="D783" t="s">
        <v>43</v>
      </c>
      <c r="E783" s="1">
        <v>45282</v>
      </c>
      <c r="F783" s="1">
        <v>45286</v>
      </c>
      <c r="G783">
        <v>22.3</v>
      </c>
      <c r="H783">
        <v>223.83</v>
      </c>
      <c r="I783" t="s">
        <v>16</v>
      </c>
      <c r="J783">
        <v>1234</v>
      </c>
      <c r="K783">
        <v>4</v>
      </c>
    </row>
    <row r="784" spans="1:11">
      <c r="A784" t="s">
        <v>831</v>
      </c>
      <c r="B784" t="s">
        <v>52</v>
      </c>
      <c r="C784" t="s">
        <v>22</v>
      </c>
      <c r="D784" t="s">
        <v>26</v>
      </c>
      <c r="E784" s="1">
        <v>45263</v>
      </c>
      <c r="F784" s="1">
        <v>45267</v>
      </c>
      <c r="G784">
        <v>17.3</v>
      </c>
      <c r="H784">
        <v>218.41</v>
      </c>
      <c r="I784" t="s">
        <v>16</v>
      </c>
      <c r="J784">
        <v>1246</v>
      </c>
      <c r="K784">
        <v>4</v>
      </c>
    </row>
    <row r="785" spans="1:11">
      <c r="A785" t="s">
        <v>832</v>
      </c>
      <c r="B785" t="s">
        <v>24</v>
      </c>
      <c r="C785" t="s">
        <v>29</v>
      </c>
      <c r="D785" t="s">
        <v>43</v>
      </c>
      <c r="E785" s="1">
        <v>45154</v>
      </c>
      <c r="F785" s="1">
        <v>45157</v>
      </c>
      <c r="G785">
        <v>19.3</v>
      </c>
      <c r="H785">
        <v>147.72999999999999</v>
      </c>
      <c r="I785" t="s">
        <v>16</v>
      </c>
      <c r="J785">
        <v>1068</v>
      </c>
      <c r="K785">
        <v>3</v>
      </c>
    </row>
    <row r="786" spans="1:11">
      <c r="A786" t="s">
        <v>833</v>
      </c>
      <c r="B786" t="s">
        <v>57</v>
      </c>
      <c r="C786" t="s">
        <v>53</v>
      </c>
      <c r="D786" t="s">
        <v>60</v>
      </c>
      <c r="E786" s="1">
        <v>45001</v>
      </c>
      <c r="F786" s="1">
        <v>45006</v>
      </c>
      <c r="G786">
        <v>22.5</v>
      </c>
      <c r="I786" t="s">
        <v>16</v>
      </c>
      <c r="J786">
        <v>1164</v>
      </c>
      <c r="K786">
        <v>5</v>
      </c>
    </row>
    <row r="787" spans="1:11">
      <c r="A787" t="s">
        <v>834</v>
      </c>
      <c r="B787" t="s">
        <v>31</v>
      </c>
      <c r="C787" t="s">
        <v>82</v>
      </c>
      <c r="D787" t="s">
        <v>43</v>
      </c>
      <c r="E787" s="1">
        <v>44958</v>
      </c>
      <c r="F787" s="1">
        <v>44962</v>
      </c>
      <c r="G787">
        <v>34</v>
      </c>
      <c r="H787">
        <v>193.6</v>
      </c>
      <c r="I787" t="s">
        <v>61</v>
      </c>
      <c r="J787">
        <v>1192</v>
      </c>
      <c r="K787">
        <v>4</v>
      </c>
    </row>
    <row r="788" spans="1:11">
      <c r="A788" t="s">
        <v>835</v>
      </c>
      <c r="B788" t="s">
        <v>57</v>
      </c>
      <c r="C788" t="s">
        <v>29</v>
      </c>
      <c r="D788" t="s">
        <v>19</v>
      </c>
      <c r="E788" s="1">
        <v>45036</v>
      </c>
      <c r="F788" s="1">
        <v>45040</v>
      </c>
      <c r="G788">
        <v>18.600000000000001</v>
      </c>
      <c r="H788">
        <v>144.94999999999999</v>
      </c>
      <c r="I788" t="s">
        <v>68</v>
      </c>
      <c r="J788">
        <v>923</v>
      </c>
      <c r="K788">
        <v>4</v>
      </c>
    </row>
    <row r="789" spans="1:11">
      <c r="A789" t="s">
        <v>836</v>
      </c>
      <c r="B789" t="s">
        <v>31</v>
      </c>
      <c r="C789" t="s">
        <v>22</v>
      </c>
      <c r="D789" t="s">
        <v>19</v>
      </c>
      <c r="E789" s="1">
        <v>44975</v>
      </c>
      <c r="F789" s="1">
        <v>44978</v>
      </c>
      <c r="G789">
        <v>16.899999999999999</v>
      </c>
      <c r="H789">
        <v>208.26</v>
      </c>
      <c r="I789" t="s">
        <v>16</v>
      </c>
      <c r="J789">
        <v>1434</v>
      </c>
      <c r="K789">
        <v>3</v>
      </c>
    </row>
    <row r="790" spans="1:11">
      <c r="A790" t="s">
        <v>837</v>
      </c>
      <c r="B790" t="s">
        <v>24</v>
      </c>
      <c r="C790" t="s">
        <v>53</v>
      </c>
      <c r="D790" t="s">
        <v>43</v>
      </c>
      <c r="E790" s="1">
        <v>45255</v>
      </c>
      <c r="F790" s="1">
        <v>45262</v>
      </c>
      <c r="G790">
        <v>36.9</v>
      </c>
      <c r="H790">
        <v>307.39999999999998</v>
      </c>
      <c r="I790" t="s">
        <v>16</v>
      </c>
      <c r="J790">
        <v>1682</v>
      </c>
      <c r="K790">
        <v>7</v>
      </c>
    </row>
    <row r="791" spans="1:11">
      <c r="A791" t="s">
        <v>838</v>
      </c>
      <c r="B791" t="s">
        <v>21</v>
      </c>
      <c r="C791" t="s">
        <v>29</v>
      </c>
      <c r="D791" t="s">
        <v>26</v>
      </c>
      <c r="E791" s="1">
        <v>45042</v>
      </c>
      <c r="F791" s="1">
        <v>45046</v>
      </c>
      <c r="G791">
        <v>26.3</v>
      </c>
      <c r="H791">
        <v>200.48</v>
      </c>
      <c r="I791" t="s">
        <v>16</v>
      </c>
      <c r="J791">
        <v>1435</v>
      </c>
      <c r="K791">
        <v>4</v>
      </c>
    </row>
    <row r="792" spans="1:11">
      <c r="A792" t="s">
        <v>839</v>
      </c>
      <c r="B792" t="s">
        <v>21</v>
      </c>
      <c r="C792" t="s">
        <v>82</v>
      </c>
      <c r="D792" t="s">
        <v>33</v>
      </c>
      <c r="E792" s="1">
        <v>45019</v>
      </c>
      <c r="F792" s="1">
        <v>45024</v>
      </c>
      <c r="G792">
        <v>12.5</v>
      </c>
      <c r="H792">
        <v>326.12</v>
      </c>
      <c r="I792" t="s">
        <v>16</v>
      </c>
      <c r="J792">
        <v>2386</v>
      </c>
      <c r="K792">
        <v>5</v>
      </c>
    </row>
    <row r="793" spans="1:11">
      <c r="A793" t="s">
        <v>840</v>
      </c>
      <c r="B793" t="s">
        <v>52</v>
      </c>
      <c r="C793" t="s">
        <v>71</v>
      </c>
      <c r="D793" t="s">
        <v>33</v>
      </c>
      <c r="E793" s="1">
        <v>45167</v>
      </c>
      <c r="F793" s="1">
        <v>45171</v>
      </c>
      <c r="G793">
        <v>6.8</v>
      </c>
      <c r="H793">
        <v>155.94999999999999</v>
      </c>
      <c r="I793" t="s">
        <v>16</v>
      </c>
      <c r="J793">
        <v>1007</v>
      </c>
      <c r="K793">
        <v>4</v>
      </c>
    </row>
    <row r="794" spans="1:11">
      <c r="A794" t="s">
        <v>841</v>
      </c>
      <c r="B794" t="s">
        <v>13</v>
      </c>
      <c r="C794" t="s">
        <v>32</v>
      </c>
      <c r="D794" t="s">
        <v>15</v>
      </c>
      <c r="E794" s="1">
        <v>45105</v>
      </c>
      <c r="F794" s="1">
        <v>45109</v>
      </c>
      <c r="G794">
        <v>15.4</v>
      </c>
      <c r="H794">
        <v>238.58</v>
      </c>
      <c r="I794" t="s">
        <v>16</v>
      </c>
      <c r="J794">
        <v>1636</v>
      </c>
      <c r="K794">
        <v>4</v>
      </c>
    </row>
    <row r="795" spans="1:11">
      <c r="A795" t="s">
        <v>842</v>
      </c>
      <c r="B795" t="s">
        <v>31</v>
      </c>
      <c r="C795" t="s">
        <v>47</v>
      </c>
      <c r="D795" t="s">
        <v>43</v>
      </c>
      <c r="E795" s="1">
        <v>45201</v>
      </c>
      <c r="F795" s="1">
        <v>45216</v>
      </c>
      <c r="G795">
        <v>46.9</v>
      </c>
      <c r="H795">
        <v>180.87</v>
      </c>
      <c r="I795" t="s">
        <v>48</v>
      </c>
      <c r="J795">
        <v>993</v>
      </c>
      <c r="K795">
        <v>3</v>
      </c>
    </row>
    <row r="796" spans="1:11">
      <c r="A796" t="s">
        <v>843</v>
      </c>
      <c r="B796" t="s">
        <v>13</v>
      </c>
      <c r="C796" t="s">
        <v>41</v>
      </c>
      <c r="D796" t="s">
        <v>43</v>
      </c>
      <c r="E796" s="1">
        <v>45049</v>
      </c>
      <c r="F796" s="1">
        <v>45053</v>
      </c>
      <c r="G796">
        <v>19.2</v>
      </c>
      <c r="H796">
        <v>132.01</v>
      </c>
      <c r="I796" t="s">
        <v>16</v>
      </c>
      <c r="J796">
        <v>810</v>
      </c>
      <c r="K796">
        <v>4</v>
      </c>
    </row>
    <row r="797" spans="1:11">
      <c r="A797" t="s">
        <v>844</v>
      </c>
      <c r="B797" t="s">
        <v>40</v>
      </c>
      <c r="C797" t="s">
        <v>45</v>
      </c>
      <c r="D797" t="s">
        <v>19</v>
      </c>
      <c r="E797" s="1">
        <v>44964</v>
      </c>
      <c r="F797" s="1">
        <v>44972</v>
      </c>
      <c r="G797">
        <v>77.7</v>
      </c>
      <c r="I797" t="s">
        <v>16</v>
      </c>
      <c r="J797">
        <v>2113</v>
      </c>
      <c r="K797">
        <v>8</v>
      </c>
    </row>
    <row r="798" spans="1:11">
      <c r="A798" t="s">
        <v>845</v>
      </c>
      <c r="B798" t="s">
        <v>21</v>
      </c>
      <c r="C798" t="s">
        <v>45</v>
      </c>
      <c r="D798" t="s">
        <v>38</v>
      </c>
      <c r="E798" s="1">
        <v>45159</v>
      </c>
      <c r="F798" s="1">
        <v>45163</v>
      </c>
      <c r="G798">
        <v>12.4</v>
      </c>
      <c r="H798">
        <v>228.09</v>
      </c>
      <c r="I798" t="s">
        <v>16</v>
      </c>
      <c r="J798">
        <v>1640</v>
      </c>
      <c r="K798">
        <v>4</v>
      </c>
    </row>
    <row r="799" spans="1:11">
      <c r="A799" t="s">
        <v>846</v>
      </c>
      <c r="B799" t="s">
        <v>40</v>
      </c>
      <c r="C799" t="s">
        <v>25</v>
      </c>
      <c r="D799" t="s">
        <v>19</v>
      </c>
      <c r="E799" s="1">
        <v>45097</v>
      </c>
      <c r="F799" s="1">
        <v>45101</v>
      </c>
      <c r="G799">
        <v>9.6999999999999993</v>
      </c>
      <c r="H799">
        <v>233.83</v>
      </c>
      <c r="I799" t="s">
        <v>16</v>
      </c>
      <c r="J799">
        <v>1517</v>
      </c>
      <c r="K799">
        <v>4</v>
      </c>
    </row>
    <row r="800" spans="1:11">
      <c r="A800" t="s">
        <v>847</v>
      </c>
      <c r="B800" t="s">
        <v>40</v>
      </c>
      <c r="C800" t="s">
        <v>58</v>
      </c>
      <c r="D800" t="s">
        <v>38</v>
      </c>
      <c r="E800" s="1">
        <v>45056</v>
      </c>
      <c r="F800" s="1">
        <v>45062</v>
      </c>
      <c r="G800">
        <v>12.3</v>
      </c>
      <c r="H800">
        <v>306.2</v>
      </c>
      <c r="I800" t="s">
        <v>16</v>
      </c>
      <c r="J800">
        <v>2458</v>
      </c>
      <c r="K800">
        <v>6</v>
      </c>
    </row>
    <row r="801" spans="1:11">
      <c r="A801" t="s">
        <v>848</v>
      </c>
      <c r="B801" t="s">
        <v>36</v>
      </c>
      <c r="C801" t="s">
        <v>41</v>
      </c>
      <c r="D801" t="s">
        <v>26</v>
      </c>
      <c r="E801" s="1">
        <v>44946</v>
      </c>
      <c r="G801">
        <v>70</v>
      </c>
      <c r="H801">
        <v>123.86</v>
      </c>
      <c r="I801" t="s">
        <v>16</v>
      </c>
      <c r="J801">
        <v>283</v>
      </c>
      <c r="K801">
        <v>3</v>
      </c>
    </row>
    <row r="802" spans="1:11">
      <c r="A802" t="s">
        <v>849</v>
      </c>
      <c r="B802" t="s">
        <v>40</v>
      </c>
      <c r="C802" t="s">
        <v>55</v>
      </c>
      <c r="D802" t="s">
        <v>15</v>
      </c>
      <c r="E802" s="1">
        <v>45089</v>
      </c>
      <c r="F802" s="1">
        <v>45094</v>
      </c>
      <c r="G802">
        <v>9.9</v>
      </c>
      <c r="H802">
        <v>282.29000000000002</v>
      </c>
      <c r="I802" t="s">
        <v>16</v>
      </c>
      <c r="J802">
        <v>2114</v>
      </c>
      <c r="K802">
        <v>5</v>
      </c>
    </row>
    <row r="803" spans="1:11">
      <c r="A803" t="s">
        <v>850</v>
      </c>
      <c r="B803" t="s">
        <v>28</v>
      </c>
      <c r="C803" t="s">
        <v>47</v>
      </c>
      <c r="D803" t="s">
        <v>38</v>
      </c>
      <c r="E803" s="1">
        <v>45078</v>
      </c>
      <c r="F803" s="1">
        <v>45084</v>
      </c>
      <c r="G803">
        <v>24.8</v>
      </c>
      <c r="H803">
        <v>213.13</v>
      </c>
      <c r="I803" t="s">
        <v>16</v>
      </c>
      <c r="J803">
        <v>1683</v>
      </c>
      <c r="K803">
        <v>6</v>
      </c>
    </row>
    <row r="804" spans="1:11">
      <c r="A804" t="s">
        <v>851</v>
      </c>
      <c r="B804" t="s">
        <v>57</v>
      </c>
      <c r="C804" t="s">
        <v>29</v>
      </c>
      <c r="D804" t="s">
        <v>60</v>
      </c>
      <c r="E804" s="1">
        <v>45226</v>
      </c>
      <c r="F804" s="1">
        <v>45228</v>
      </c>
      <c r="G804">
        <v>4.5999999999999996</v>
      </c>
      <c r="H804">
        <v>44.35</v>
      </c>
      <c r="I804" t="s">
        <v>16</v>
      </c>
      <c r="J804">
        <v>345</v>
      </c>
      <c r="K804">
        <v>2</v>
      </c>
    </row>
    <row r="805" spans="1:11">
      <c r="A805" t="s">
        <v>852</v>
      </c>
      <c r="B805" t="s">
        <v>13</v>
      </c>
      <c r="C805" t="s">
        <v>41</v>
      </c>
      <c r="D805" t="s">
        <v>26</v>
      </c>
      <c r="E805" s="1">
        <v>45016</v>
      </c>
      <c r="F805" s="1">
        <v>45022</v>
      </c>
      <c r="G805">
        <v>4.8</v>
      </c>
      <c r="H805">
        <v>287.60000000000002</v>
      </c>
      <c r="I805" t="s">
        <v>16</v>
      </c>
      <c r="J805">
        <v>2470</v>
      </c>
      <c r="K805">
        <v>6</v>
      </c>
    </row>
    <row r="806" spans="1:11">
      <c r="A806" t="s">
        <v>853</v>
      </c>
      <c r="B806" t="s">
        <v>24</v>
      </c>
      <c r="C806" t="s">
        <v>45</v>
      </c>
      <c r="D806" t="s">
        <v>19</v>
      </c>
      <c r="E806" s="1">
        <v>45080</v>
      </c>
      <c r="F806" s="1">
        <v>45082</v>
      </c>
      <c r="G806">
        <v>19.2</v>
      </c>
      <c r="I806" t="s">
        <v>16</v>
      </c>
      <c r="J806">
        <v>285</v>
      </c>
      <c r="K806">
        <v>2</v>
      </c>
    </row>
    <row r="807" spans="1:11">
      <c r="A807" t="s">
        <v>854</v>
      </c>
      <c r="B807" t="s">
        <v>40</v>
      </c>
      <c r="C807" t="s">
        <v>45</v>
      </c>
      <c r="D807" t="s">
        <v>15</v>
      </c>
      <c r="E807" s="1">
        <v>44965</v>
      </c>
      <c r="F807" s="1">
        <v>44972</v>
      </c>
      <c r="G807">
        <v>40.1</v>
      </c>
      <c r="H807">
        <v>104.23</v>
      </c>
      <c r="I807" t="s">
        <v>48</v>
      </c>
      <c r="J807">
        <v>428</v>
      </c>
      <c r="K807">
        <v>2</v>
      </c>
    </row>
    <row r="808" spans="1:11">
      <c r="A808" t="s">
        <v>855</v>
      </c>
      <c r="B808" t="s">
        <v>13</v>
      </c>
      <c r="C808" t="s">
        <v>45</v>
      </c>
      <c r="D808" t="s">
        <v>38</v>
      </c>
      <c r="E808" s="1">
        <v>44979</v>
      </c>
      <c r="F808" s="1">
        <v>44985</v>
      </c>
      <c r="G808">
        <v>38.4</v>
      </c>
      <c r="H808">
        <v>276.83</v>
      </c>
      <c r="I808" t="s">
        <v>16</v>
      </c>
      <c r="J808">
        <v>1780</v>
      </c>
      <c r="K808">
        <v>6</v>
      </c>
    </row>
    <row r="809" spans="1:11">
      <c r="A809" t="s">
        <v>856</v>
      </c>
      <c r="B809" t="s">
        <v>28</v>
      </c>
      <c r="C809" t="s">
        <v>25</v>
      </c>
      <c r="D809" t="s">
        <v>60</v>
      </c>
      <c r="E809" s="1">
        <v>45149</v>
      </c>
      <c r="F809" s="1">
        <v>45154</v>
      </c>
      <c r="G809">
        <v>30.3</v>
      </c>
      <c r="H809">
        <v>247.69</v>
      </c>
      <c r="I809" t="s">
        <v>16</v>
      </c>
      <c r="J809">
        <v>2049</v>
      </c>
      <c r="K809">
        <v>5</v>
      </c>
    </row>
    <row r="810" spans="1:11">
      <c r="A810" t="s">
        <v>857</v>
      </c>
      <c r="B810" t="s">
        <v>50</v>
      </c>
      <c r="C810" t="s">
        <v>53</v>
      </c>
      <c r="D810" t="s">
        <v>33</v>
      </c>
      <c r="E810" s="1">
        <v>45285</v>
      </c>
      <c r="F810" s="1">
        <v>45294</v>
      </c>
      <c r="G810">
        <v>14.1</v>
      </c>
      <c r="H810">
        <v>430.99</v>
      </c>
      <c r="I810" t="s">
        <v>16</v>
      </c>
      <c r="J810">
        <v>2363</v>
      </c>
      <c r="K810">
        <v>9</v>
      </c>
    </row>
    <row r="811" spans="1:11">
      <c r="A811" t="s">
        <v>858</v>
      </c>
      <c r="B811" t="s">
        <v>50</v>
      </c>
      <c r="C811" t="s">
        <v>45</v>
      </c>
      <c r="D811" t="s">
        <v>26</v>
      </c>
      <c r="E811" s="1">
        <v>45256</v>
      </c>
      <c r="F811" s="1">
        <v>45263</v>
      </c>
      <c r="G811">
        <v>6.2</v>
      </c>
      <c r="H811">
        <v>314.26</v>
      </c>
      <c r="I811" t="s">
        <v>16</v>
      </c>
      <c r="J811">
        <v>2315</v>
      </c>
      <c r="K811">
        <v>7</v>
      </c>
    </row>
    <row r="812" spans="1:11">
      <c r="A812" t="s">
        <v>859</v>
      </c>
      <c r="B812" t="s">
        <v>13</v>
      </c>
      <c r="C812" t="s">
        <v>41</v>
      </c>
      <c r="D812" t="s">
        <v>38</v>
      </c>
      <c r="E812" s="1">
        <v>45016</v>
      </c>
      <c r="F812" s="1">
        <v>45019</v>
      </c>
      <c r="G812">
        <v>51.8</v>
      </c>
      <c r="H812">
        <v>231.8</v>
      </c>
      <c r="I812" t="s">
        <v>16</v>
      </c>
      <c r="J812">
        <v>1415</v>
      </c>
      <c r="K812">
        <v>3</v>
      </c>
    </row>
    <row r="813" spans="1:11">
      <c r="A813" t="s">
        <v>860</v>
      </c>
      <c r="B813" t="s">
        <v>13</v>
      </c>
      <c r="C813" t="s">
        <v>45</v>
      </c>
      <c r="D813" t="s">
        <v>60</v>
      </c>
      <c r="E813" s="1">
        <v>45177</v>
      </c>
      <c r="F813" s="1">
        <v>45180</v>
      </c>
      <c r="G813">
        <v>24.6</v>
      </c>
      <c r="H813">
        <v>87.65</v>
      </c>
      <c r="I813" t="s">
        <v>63</v>
      </c>
      <c r="J813">
        <v>454</v>
      </c>
      <c r="K813">
        <v>3</v>
      </c>
    </row>
    <row r="814" spans="1:11">
      <c r="A814" t="s">
        <v>861</v>
      </c>
      <c r="B814" t="s">
        <v>13</v>
      </c>
      <c r="C814" t="s">
        <v>37</v>
      </c>
      <c r="D814" t="s">
        <v>43</v>
      </c>
      <c r="E814" s="1">
        <v>45232</v>
      </c>
      <c r="F814" s="1">
        <v>45234</v>
      </c>
      <c r="G814">
        <v>18.399999999999999</v>
      </c>
      <c r="H814">
        <v>151.66999999999999</v>
      </c>
      <c r="I814" t="s">
        <v>16</v>
      </c>
      <c r="J814">
        <v>862</v>
      </c>
      <c r="K814">
        <v>2</v>
      </c>
    </row>
    <row r="815" spans="1:11">
      <c r="A815" t="s">
        <v>862</v>
      </c>
      <c r="B815" t="s">
        <v>57</v>
      </c>
      <c r="C815" t="s">
        <v>47</v>
      </c>
      <c r="D815" t="s">
        <v>26</v>
      </c>
      <c r="E815" s="1">
        <v>45256</v>
      </c>
      <c r="F815" s="1">
        <v>45262</v>
      </c>
      <c r="G815">
        <v>14.5</v>
      </c>
      <c r="H815">
        <v>301.8</v>
      </c>
      <c r="I815" t="s">
        <v>16</v>
      </c>
      <c r="J815">
        <v>1889</v>
      </c>
      <c r="K815">
        <v>6</v>
      </c>
    </row>
    <row r="816" spans="1:11">
      <c r="A816" t="s">
        <v>863</v>
      </c>
      <c r="B816" t="s">
        <v>52</v>
      </c>
      <c r="C816" t="s">
        <v>71</v>
      </c>
      <c r="D816" t="s">
        <v>43</v>
      </c>
      <c r="E816" s="1">
        <v>45157</v>
      </c>
      <c r="F816" s="1">
        <v>45160</v>
      </c>
      <c r="G816">
        <v>14.7</v>
      </c>
      <c r="H816">
        <v>124.34</v>
      </c>
      <c r="I816" t="s">
        <v>16</v>
      </c>
      <c r="J816">
        <v>909</v>
      </c>
      <c r="K816">
        <v>3</v>
      </c>
    </row>
    <row r="817" spans="1:11">
      <c r="A817" t="s">
        <v>864</v>
      </c>
      <c r="B817" t="s">
        <v>36</v>
      </c>
      <c r="C817" t="s">
        <v>37</v>
      </c>
      <c r="D817" t="s">
        <v>43</v>
      </c>
      <c r="E817" s="1">
        <v>45194</v>
      </c>
      <c r="F817" s="1">
        <v>45196</v>
      </c>
      <c r="G817">
        <v>46.3</v>
      </c>
      <c r="H817">
        <v>140.84</v>
      </c>
      <c r="I817" t="s">
        <v>16</v>
      </c>
      <c r="J817">
        <v>675</v>
      </c>
      <c r="K817">
        <v>2</v>
      </c>
    </row>
    <row r="818" spans="1:11">
      <c r="A818" t="s">
        <v>865</v>
      </c>
      <c r="B818" t="s">
        <v>24</v>
      </c>
      <c r="C818" t="s">
        <v>32</v>
      </c>
      <c r="D818" t="s">
        <v>43</v>
      </c>
      <c r="E818" s="1">
        <v>45254</v>
      </c>
      <c r="F818" s="1">
        <v>45258</v>
      </c>
      <c r="G818">
        <v>17</v>
      </c>
      <c r="H818">
        <v>113.42</v>
      </c>
      <c r="I818" t="s">
        <v>61</v>
      </c>
      <c r="J818">
        <v>677</v>
      </c>
      <c r="K818">
        <v>4</v>
      </c>
    </row>
    <row r="819" spans="1:11">
      <c r="A819" t="s">
        <v>866</v>
      </c>
      <c r="B819" t="s">
        <v>31</v>
      </c>
      <c r="C819" t="s">
        <v>53</v>
      </c>
      <c r="D819" t="s">
        <v>60</v>
      </c>
      <c r="E819" s="1">
        <v>45237</v>
      </c>
      <c r="F819" s="1">
        <v>45242</v>
      </c>
      <c r="G819">
        <v>36.1</v>
      </c>
      <c r="H819">
        <v>234.42</v>
      </c>
      <c r="I819" t="s">
        <v>16</v>
      </c>
      <c r="J819">
        <v>1315</v>
      </c>
      <c r="K819">
        <v>5</v>
      </c>
    </row>
    <row r="820" spans="1:11">
      <c r="A820" t="s">
        <v>867</v>
      </c>
      <c r="B820" t="s">
        <v>36</v>
      </c>
      <c r="C820" t="s">
        <v>25</v>
      </c>
      <c r="D820" t="s">
        <v>43</v>
      </c>
      <c r="E820" s="1">
        <v>45190</v>
      </c>
      <c r="F820" s="1">
        <v>45192</v>
      </c>
      <c r="G820">
        <v>57.5</v>
      </c>
      <c r="H820">
        <v>82.81</v>
      </c>
      <c r="I820" t="s">
        <v>16</v>
      </c>
      <c r="J820">
        <v>105</v>
      </c>
      <c r="K820">
        <v>2</v>
      </c>
    </row>
    <row r="821" spans="1:11">
      <c r="A821" t="s">
        <v>868</v>
      </c>
      <c r="B821" t="s">
        <v>21</v>
      </c>
      <c r="C821" t="s">
        <v>32</v>
      </c>
      <c r="D821" t="s">
        <v>60</v>
      </c>
      <c r="E821" s="1">
        <v>45243</v>
      </c>
      <c r="F821" s="1">
        <v>45248</v>
      </c>
      <c r="G821">
        <v>25.2</v>
      </c>
      <c r="H821">
        <v>283.73</v>
      </c>
      <c r="I821" t="s">
        <v>16</v>
      </c>
      <c r="J821">
        <v>1791</v>
      </c>
      <c r="K821">
        <v>5</v>
      </c>
    </row>
    <row r="822" spans="1:11">
      <c r="A822" t="s">
        <v>869</v>
      </c>
      <c r="B822" t="s">
        <v>40</v>
      </c>
      <c r="C822" t="s">
        <v>22</v>
      </c>
      <c r="D822" t="s">
        <v>60</v>
      </c>
      <c r="E822" s="1">
        <v>45131</v>
      </c>
      <c r="F822" s="1">
        <v>45136</v>
      </c>
      <c r="G822">
        <v>97.3</v>
      </c>
      <c r="H822">
        <v>286.39</v>
      </c>
      <c r="I822" t="s">
        <v>16</v>
      </c>
      <c r="J822">
        <v>1778</v>
      </c>
      <c r="K822">
        <v>5</v>
      </c>
    </row>
    <row r="823" spans="1:11">
      <c r="A823" t="s">
        <v>870</v>
      </c>
      <c r="B823" t="s">
        <v>31</v>
      </c>
      <c r="C823" t="s">
        <v>55</v>
      </c>
      <c r="D823" t="s">
        <v>60</v>
      </c>
      <c r="E823" s="1">
        <v>44997</v>
      </c>
      <c r="F823" s="1">
        <v>44999</v>
      </c>
      <c r="G823">
        <v>7.3</v>
      </c>
      <c r="H823">
        <v>35.270000000000003</v>
      </c>
      <c r="I823" t="s">
        <v>16</v>
      </c>
      <c r="J823">
        <v>209</v>
      </c>
      <c r="K823">
        <v>2</v>
      </c>
    </row>
    <row r="824" spans="1:11">
      <c r="A824" t="s">
        <v>871</v>
      </c>
      <c r="B824" t="s">
        <v>52</v>
      </c>
      <c r="C824" t="s">
        <v>29</v>
      </c>
      <c r="D824" t="s">
        <v>26</v>
      </c>
      <c r="E824" s="1">
        <v>45077</v>
      </c>
      <c r="F824" s="1">
        <v>45081</v>
      </c>
      <c r="G824">
        <v>21.4</v>
      </c>
      <c r="H824">
        <v>73.84</v>
      </c>
      <c r="I824" t="s">
        <v>16</v>
      </c>
      <c r="J824">
        <v>350</v>
      </c>
      <c r="K824">
        <v>4</v>
      </c>
    </row>
    <row r="825" spans="1:11">
      <c r="A825" t="s">
        <v>872</v>
      </c>
      <c r="B825" t="s">
        <v>57</v>
      </c>
      <c r="C825" t="s">
        <v>58</v>
      </c>
      <c r="D825" t="s">
        <v>19</v>
      </c>
      <c r="E825" s="1">
        <v>44944</v>
      </c>
      <c r="F825" s="1">
        <v>44950</v>
      </c>
      <c r="G825">
        <v>50.2</v>
      </c>
      <c r="H825">
        <v>326.57</v>
      </c>
      <c r="I825" t="s">
        <v>16</v>
      </c>
      <c r="J825">
        <v>1802</v>
      </c>
      <c r="K825">
        <v>6</v>
      </c>
    </row>
    <row r="826" spans="1:11">
      <c r="A826" t="s">
        <v>873</v>
      </c>
      <c r="B826" t="s">
        <v>31</v>
      </c>
      <c r="C826" t="s">
        <v>58</v>
      </c>
      <c r="D826" t="s">
        <v>60</v>
      </c>
      <c r="E826" s="1">
        <v>45218</v>
      </c>
      <c r="F826" s="1">
        <v>45221</v>
      </c>
      <c r="G826">
        <v>5.8</v>
      </c>
      <c r="H826">
        <v>120.42</v>
      </c>
      <c r="I826" t="s">
        <v>16</v>
      </c>
      <c r="J826">
        <v>1093</v>
      </c>
      <c r="K826">
        <v>3</v>
      </c>
    </row>
    <row r="827" spans="1:11">
      <c r="A827" t="s">
        <v>874</v>
      </c>
      <c r="B827" t="s">
        <v>52</v>
      </c>
      <c r="C827" t="s">
        <v>18</v>
      </c>
      <c r="D827" t="s">
        <v>33</v>
      </c>
      <c r="E827" s="1">
        <v>45243</v>
      </c>
      <c r="F827" s="1">
        <v>45249</v>
      </c>
      <c r="G827">
        <v>9.6999999999999993</v>
      </c>
      <c r="H827">
        <v>162.41999999999999</v>
      </c>
      <c r="I827" t="s">
        <v>16</v>
      </c>
      <c r="J827">
        <v>870</v>
      </c>
      <c r="K827">
        <v>6</v>
      </c>
    </row>
    <row r="828" spans="1:11">
      <c r="A828" t="s">
        <v>875</v>
      </c>
      <c r="B828" t="s">
        <v>21</v>
      </c>
      <c r="C828" t="s">
        <v>71</v>
      </c>
      <c r="D828" t="s">
        <v>33</v>
      </c>
      <c r="E828" s="1">
        <v>45179</v>
      </c>
      <c r="F828" s="1">
        <v>45183</v>
      </c>
      <c r="G828">
        <v>39.1</v>
      </c>
      <c r="H828">
        <v>277.98</v>
      </c>
      <c r="I828" t="s">
        <v>16</v>
      </c>
      <c r="J828">
        <v>1645</v>
      </c>
      <c r="K828">
        <v>4</v>
      </c>
    </row>
    <row r="829" spans="1:11">
      <c r="A829" t="s">
        <v>876</v>
      </c>
      <c r="B829" t="s">
        <v>52</v>
      </c>
      <c r="C829" t="s">
        <v>41</v>
      </c>
      <c r="D829" t="s">
        <v>19</v>
      </c>
      <c r="E829" s="1">
        <v>45162</v>
      </c>
      <c r="F829" s="1">
        <v>45164</v>
      </c>
      <c r="G829">
        <v>27.7</v>
      </c>
      <c r="H829">
        <v>51.34</v>
      </c>
      <c r="I829" t="s">
        <v>16</v>
      </c>
      <c r="J829">
        <v>121</v>
      </c>
      <c r="K829">
        <v>2</v>
      </c>
    </row>
    <row r="830" spans="1:11">
      <c r="A830" t="s">
        <v>877</v>
      </c>
      <c r="B830" t="s">
        <v>40</v>
      </c>
      <c r="C830" t="s">
        <v>18</v>
      </c>
      <c r="D830" t="s">
        <v>60</v>
      </c>
      <c r="E830" s="1">
        <v>44942</v>
      </c>
      <c r="F830" s="1">
        <v>44944</v>
      </c>
      <c r="G830">
        <v>38.4</v>
      </c>
      <c r="H830">
        <v>125.03</v>
      </c>
      <c r="I830" t="s">
        <v>16</v>
      </c>
      <c r="J830">
        <v>800</v>
      </c>
      <c r="K830">
        <v>2</v>
      </c>
    </row>
    <row r="831" spans="1:11">
      <c r="A831" t="s">
        <v>878</v>
      </c>
      <c r="B831" t="s">
        <v>36</v>
      </c>
      <c r="C831" t="s">
        <v>41</v>
      </c>
      <c r="D831" t="s">
        <v>26</v>
      </c>
      <c r="E831" s="1">
        <v>44960</v>
      </c>
      <c r="F831" s="1">
        <v>44961</v>
      </c>
      <c r="G831">
        <v>0</v>
      </c>
      <c r="H831">
        <v>35.85</v>
      </c>
      <c r="I831" t="s">
        <v>16</v>
      </c>
      <c r="J831">
        <v>283</v>
      </c>
      <c r="K831">
        <v>1</v>
      </c>
    </row>
    <row r="832" spans="1:11">
      <c r="A832" t="s">
        <v>879</v>
      </c>
      <c r="B832" t="s">
        <v>40</v>
      </c>
      <c r="C832" t="s">
        <v>58</v>
      </c>
      <c r="D832" t="s">
        <v>26</v>
      </c>
      <c r="E832" s="1">
        <v>44990</v>
      </c>
      <c r="F832" s="1">
        <v>44991</v>
      </c>
      <c r="G832">
        <v>12.8</v>
      </c>
      <c r="H832">
        <v>41.3</v>
      </c>
      <c r="I832" t="s">
        <v>16</v>
      </c>
      <c r="J832">
        <v>205</v>
      </c>
      <c r="K832">
        <v>1</v>
      </c>
    </row>
    <row r="833" spans="1:11">
      <c r="A833" t="s">
        <v>880</v>
      </c>
      <c r="B833" t="s">
        <v>36</v>
      </c>
      <c r="C833" t="s">
        <v>45</v>
      </c>
      <c r="D833" t="s">
        <v>60</v>
      </c>
      <c r="E833" s="1">
        <v>45038</v>
      </c>
      <c r="F833" s="1">
        <v>45042</v>
      </c>
      <c r="G833">
        <v>42.2</v>
      </c>
      <c r="H833">
        <v>271.44</v>
      </c>
      <c r="I833" t="s">
        <v>16</v>
      </c>
      <c r="J833">
        <v>1943</v>
      </c>
      <c r="K833">
        <v>4</v>
      </c>
    </row>
    <row r="834" spans="1:11">
      <c r="A834" t="s">
        <v>881</v>
      </c>
      <c r="B834" t="s">
        <v>21</v>
      </c>
      <c r="C834" t="s">
        <v>22</v>
      </c>
      <c r="D834" t="s">
        <v>38</v>
      </c>
      <c r="E834" s="1">
        <v>45176</v>
      </c>
      <c r="F834" s="1">
        <v>45179</v>
      </c>
      <c r="G834">
        <v>13.3</v>
      </c>
      <c r="H834">
        <v>179.74</v>
      </c>
      <c r="I834" t="s">
        <v>16</v>
      </c>
      <c r="J834">
        <v>1317</v>
      </c>
      <c r="K834">
        <v>3</v>
      </c>
    </row>
    <row r="835" spans="1:11">
      <c r="A835" t="s">
        <v>882</v>
      </c>
      <c r="B835" t="s">
        <v>13</v>
      </c>
      <c r="C835" t="s">
        <v>32</v>
      </c>
      <c r="D835" t="s">
        <v>19</v>
      </c>
      <c r="E835" s="1">
        <v>45117</v>
      </c>
      <c r="F835" s="1">
        <v>45118</v>
      </c>
      <c r="G835">
        <v>12.4</v>
      </c>
      <c r="H835">
        <v>47.25</v>
      </c>
      <c r="I835" t="s">
        <v>16</v>
      </c>
      <c r="J835">
        <v>237</v>
      </c>
      <c r="K835">
        <v>1</v>
      </c>
    </row>
    <row r="836" spans="1:11">
      <c r="A836" t="s">
        <v>883</v>
      </c>
      <c r="B836" t="s">
        <v>24</v>
      </c>
      <c r="C836" t="s">
        <v>41</v>
      </c>
      <c r="D836" t="s">
        <v>60</v>
      </c>
      <c r="E836" s="1">
        <v>44982</v>
      </c>
      <c r="F836" s="1">
        <v>44984</v>
      </c>
      <c r="G836">
        <v>12.2</v>
      </c>
      <c r="H836">
        <v>70.06</v>
      </c>
      <c r="I836" t="s">
        <v>16</v>
      </c>
      <c r="J836">
        <v>489</v>
      </c>
      <c r="K836">
        <v>2</v>
      </c>
    </row>
    <row r="837" spans="1:11">
      <c r="A837" t="s">
        <v>884</v>
      </c>
      <c r="B837" t="s">
        <v>36</v>
      </c>
      <c r="C837" t="s">
        <v>53</v>
      </c>
      <c r="D837" t="s">
        <v>43</v>
      </c>
      <c r="E837" s="1">
        <v>45097</v>
      </c>
      <c r="F837" s="1">
        <v>45101</v>
      </c>
      <c r="G837">
        <v>28.6</v>
      </c>
      <c r="H837">
        <v>223.2</v>
      </c>
      <c r="I837" t="s">
        <v>16</v>
      </c>
      <c r="J837">
        <v>1752</v>
      </c>
      <c r="K837">
        <v>4</v>
      </c>
    </row>
    <row r="838" spans="1:11">
      <c r="A838" t="s">
        <v>885</v>
      </c>
      <c r="B838" t="s">
        <v>36</v>
      </c>
      <c r="C838" t="s">
        <v>55</v>
      </c>
      <c r="D838" t="s">
        <v>33</v>
      </c>
      <c r="E838" s="1">
        <v>45068</v>
      </c>
      <c r="F838" s="1">
        <v>45071</v>
      </c>
      <c r="G838">
        <v>12.3</v>
      </c>
      <c r="H838">
        <v>199.26</v>
      </c>
      <c r="I838" t="s">
        <v>16</v>
      </c>
      <c r="J838">
        <v>1350</v>
      </c>
      <c r="K838">
        <v>3</v>
      </c>
    </row>
    <row r="839" spans="1:11">
      <c r="A839" t="s">
        <v>886</v>
      </c>
      <c r="B839" t="s">
        <v>57</v>
      </c>
      <c r="C839" t="s">
        <v>14</v>
      </c>
      <c r="D839" t="s">
        <v>60</v>
      </c>
      <c r="E839" s="1">
        <v>45089</v>
      </c>
      <c r="F839" s="1">
        <v>45093</v>
      </c>
      <c r="G839">
        <v>7.5</v>
      </c>
      <c r="H839">
        <v>165.29</v>
      </c>
      <c r="I839" t="s">
        <v>16</v>
      </c>
      <c r="J839">
        <v>1323</v>
      </c>
      <c r="K839">
        <v>4</v>
      </c>
    </row>
    <row r="840" spans="1:11">
      <c r="A840" t="s">
        <v>887</v>
      </c>
      <c r="B840" t="s">
        <v>24</v>
      </c>
      <c r="C840" t="s">
        <v>14</v>
      </c>
      <c r="D840" t="s">
        <v>26</v>
      </c>
      <c r="E840" s="1">
        <v>45157</v>
      </c>
      <c r="F840" s="1">
        <v>45163</v>
      </c>
      <c r="G840">
        <v>10.4</v>
      </c>
      <c r="H840">
        <v>45.53</v>
      </c>
      <c r="I840" t="s">
        <v>16</v>
      </c>
      <c r="J840">
        <v>255</v>
      </c>
      <c r="K840">
        <v>6</v>
      </c>
    </row>
    <row r="841" spans="1:11">
      <c r="A841" t="s">
        <v>888</v>
      </c>
      <c r="B841" t="s">
        <v>21</v>
      </c>
      <c r="C841" t="s">
        <v>32</v>
      </c>
      <c r="D841" t="s">
        <v>15</v>
      </c>
      <c r="E841" s="1">
        <v>45193</v>
      </c>
      <c r="F841" s="1">
        <v>45196</v>
      </c>
      <c r="G841">
        <v>33.5</v>
      </c>
      <c r="H841">
        <v>88.12</v>
      </c>
      <c r="I841" t="s">
        <v>16</v>
      </c>
      <c r="J841">
        <v>420</v>
      </c>
      <c r="K841">
        <v>3</v>
      </c>
    </row>
    <row r="842" spans="1:11">
      <c r="A842" t="s">
        <v>889</v>
      </c>
      <c r="B842" t="s">
        <v>36</v>
      </c>
      <c r="C842" t="s">
        <v>18</v>
      </c>
      <c r="D842" t="s">
        <v>43</v>
      </c>
      <c r="E842" s="1">
        <v>45151</v>
      </c>
      <c r="F842" s="1">
        <v>45157</v>
      </c>
      <c r="G842">
        <v>16.899999999999999</v>
      </c>
      <c r="H842">
        <v>192.93</v>
      </c>
      <c r="I842" t="s">
        <v>16</v>
      </c>
      <c r="J842">
        <v>1506</v>
      </c>
      <c r="K842">
        <v>6</v>
      </c>
    </row>
    <row r="843" spans="1:11">
      <c r="A843" t="s">
        <v>890</v>
      </c>
      <c r="B843" t="s">
        <v>13</v>
      </c>
      <c r="C843" t="s">
        <v>53</v>
      </c>
      <c r="D843" t="s">
        <v>43</v>
      </c>
      <c r="E843" s="1">
        <v>45238</v>
      </c>
      <c r="F843" s="1">
        <v>45243</v>
      </c>
      <c r="G843">
        <v>25.9</v>
      </c>
      <c r="H843">
        <v>272</v>
      </c>
      <c r="I843" t="s">
        <v>16</v>
      </c>
      <c r="J843">
        <v>1763</v>
      </c>
      <c r="K843">
        <v>5</v>
      </c>
    </row>
    <row r="844" spans="1:11">
      <c r="A844" t="s">
        <v>891</v>
      </c>
      <c r="B844" t="s">
        <v>24</v>
      </c>
      <c r="C844" t="s">
        <v>47</v>
      </c>
      <c r="D844" t="s">
        <v>33</v>
      </c>
      <c r="E844" s="1">
        <v>45005</v>
      </c>
      <c r="F844" s="1">
        <v>45009</v>
      </c>
      <c r="G844">
        <v>6.2</v>
      </c>
      <c r="H844">
        <v>217.1</v>
      </c>
      <c r="I844" t="s">
        <v>16</v>
      </c>
      <c r="J844">
        <v>1483</v>
      </c>
      <c r="K844">
        <v>4</v>
      </c>
    </row>
    <row r="845" spans="1:11">
      <c r="A845" t="s">
        <v>892</v>
      </c>
      <c r="B845" t="s">
        <v>31</v>
      </c>
      <c r="C845" t="s">
        <v>47</v>
      </c>
      <c r="D845" t="s">
        <v>33</v>
      </c>
      <c r="E845" s="1">
        <v>45010</v>
      </c>
      <c r="F845" s="1">
        <v>45015</v>
      </c>
      <c r="G845">
        <v>7.3</v>
      </c>
      <c r="H845">
        <v>238.37</v>
      </c>
      <c r="I845" t="s">
        <v>16</v>
      </c>
      <c r="J845">
        <v>1921</v>
      </c>
      <c r="K845">
        <v>5</v>
      </c>
    </row>
    <row r="846" spans="1:11">
      <c r="A846" t="s">
        <v>893</v>
      </c>
      <c r="B846" t="s">
        <v>28</v>
      </c>
      <c r="C846" t="s">
        <v>18</v>
      </c>
      <c r="D846" t="s">
        <v>43</v>
      </c>
      <c r="E846" s="1">
        <v>45152</v>
      </c>
      <c r="F846" s="1">
        <v>45157</v>
      </c>
      <c r="G846">
        <v>30.8</v>
      </c>
      <c r="H846">
        <v>251.75</v>
      </c>
      <c r="I846" t="s">
        <v>16</v>
      </c>
      <c r="J846">
        <v>1737</v>
      </c>
      <c r="K846">
        <v>5</v>
      </c>
    </row>
    <row r="847" spans="1:11">
      <c r="A847" t="s">
        <v>894</v>
      </c>
      <c r="B847" t="s">
        <v>24</v>
      </c>
      <c r="C847" t="s">
        <v>55</v>
      </c>
      <c r="D847" t="s">
        <v>26</v>
      </c>
      <c r="E847" s="1">
        <v>44946</v>
      </c>
      <c r="F847" s="1">
        <v>44949</v>
      </c>
      <c r="G847">
        <v>3.6</v>
      </c>
      <c r="H847">
        <v>68.650000000000006</v>
      </c>
      <c r="I847" t="s">
        <v>68</v>
      </c>
      <c r="J847">
        <v>560</v>
      </c>
      <c r="K847">
        <v>3</v>
      </c>
    </row>
    <row r="848" spans="1:11">
      <c r="A848" t="s">
        <v>895</v>
      </c>
      <c r="B848" t="s">
        <v>40</v>
      </c>
      <c r="C848" t="s">
        <v>29</v>
      </c>
      <c r="D848" t="s">
        <v>26</v>
      </c>
      <c r="E848" s="1">
        <v>44934</v>
      </c>
      <c r="F848" s="1">
        <v>44937</v>
      </c>
      <c r="G848">
        <v>63.5</v>
      </c>
      <c r="H848">
        <v>192.27</v>
      </c>
      <c r="I848" t="s">
        <v>16</v>
      </c>
      <c r="J848">
        <v>1118</v>
      </c>
      <c r="K848">
        <v>3</v>
      </c>
    </row>
    <row r="849" spans="1:11">
      <c r="A849" t="s">
        <v>896</v>
      </c>
      <c r="B849" t="s">
        <v>36</v>
      </c>
      <c r="C849" t="s">
        <v>41</v>
      </c>
      <c r="D849" t="s">
        <v>33</v>
      </c>
      <c r="E849" s="1">
        <v>44972</v>
      </c>
      <c r="F849" s="1">
        <v>44973</v>
      </c>
      <c r="G849">
        <v>53.7</v>
      </c>
      <c r="H849">
        <v>113.89</v>
      </c>
      <c r="I849" t="s">
        <v>16</v>
      </c>
      <c r="J849">
        <v>283</v>
      </c>
      <c r="K849">
        <v>1</v>
      </c>
    </row>
    <row r="850" spans="1:11">
      <c r="A850" t="s">
        <v>897</v>
      </c>
      <c r="B850" t="s">
        <v>57</v>
      </c>
      <c r="C850" t="s">
        <v>25</v>
      </c>
      <c r="D850" t="s">
        <v>38</v>
      </c>
      <c r="E850" s="1">
        <v>45008</v>
      </c>
      <c r="F850" s="1">
        <v>45014</v>
      </c>
      <c r="G850">
        <v>10.3</v>
      </c>
      <c r="H850">
        <v>312.01</v>
      </c>
      <c r="I850" t="s">
        <v>16</v>
      </c>
      <c r="J850">
        <v>2287</v>
      </c>
      <c r="K850">
        <v>6</v>
      </c>
    </row>
    <row r="851" spans="1:11">
      <c r="A851" t="s">
        <v>898</v>
      </c>
      <c r="B851" t="s">
        <v>52</v>
      </c>
      <c r="C851" t="s">
        <v>58</v>
      </c>
      <c r="D851" t="s">
        <v>19</v>
      </c>
      <c r="E851" s="1">
        <v>45001</v>
      </c>
      <c r="F851" s="1">
        <v>45004</v>
      </c>
      <c r="G851">
        <v>23.7</v>
      </c>
      <c r="H851">
        <v>105.39</v>
      </c>
      <c r="I851" t="s">
        <v>16</v>
      </c>
      <c r="J851">
        <v>475</v>
      </c>
      <c r="K851">
        <v>3</v>
      </c>
    </row>
    <row r="852" spans="1:11">
      <c r="A852" t="s">
        <v>899</v>
      </c>
      <c r="B852" t="s">
        <v>13</v>
      </c>
      <c r="C852" t="s">
        <v>18</v>
      </c>
      <c r="D852" t="s">
        <v>33</v>
      </c>
      <c r="E852" s="1">
        <v>45276</v>
      </c>
      <c r="F852" s="1">
        <v>45290</v>
      </c>
      <c r="G852">
        <v>12.4</v>
      </c>
      <c r="H852">
        <v>55.37</v>
      </c>
      <c r="I852" t="s">
        <v>48</v>
      </c>
      <c r="J852">
        <v>253</v>
      </c>
      <c r="K852">
        <v>1</v>
      </c>
    </row>
    <row r="853" spans="1:11">
      <c r="A853" t="s">
        <v>900</v>
      </c>
      <c r="B853" t="s">
        <v>36</v>
      </c>
      <c r="C853" t="s">
        <v>18</v>
      </c>
      <c r="D853" t="s">
        <v>15</v>
      </c>
      <c r="E853" s="1">
        <v>45214</v>
      </c>
      <c r="F853" s="1">
        <v>45218</v>
      </c>
      <c r="G853">
        <v>21.5</v>
      </c>
      <c r="H853">
        <v>163.13</v>
      </c>
      <c r="I853" t="s">
        <v>16</v>
      </c>
      <c r="J853">
        <v>976</v>
      </c>
      <c r="K853">
        <v>4</v>
      </c>
    </row>
    <row r="854" spans="1:11">
      <c r="A854" t="s">
        <v>901</v>
      </c>
      <c r="B854" t="s">
        <v>40</v>
      </c>
      <c r="C854" t="s">
        <v>82</v>
      </c>
      <c r="D854" t="s">
        <v>33</v>
      </c>
      <c r="E854" s="1">
        <v>45208</v>
      </c>
      <c r="F854" s="1">
        <v>45211</v>
      </c>
      <c r="G854">
        <v>13.7</v>
      </c>
      <c r="H854">
        <v>151.52000000000001</v>
      </c>
      <c r="I854" t="s">
        <v>16</v>
      </c>
      <c r="J854">
        <v>1030</v>
      </c>
      <c r="K854">
        <v>3</v>
      </c>
    </row>
    <row r="855" spans="1:11">
      <c r="A855" t="s">
        <v>902</v>
      </c>
      <c r="B855" t="s">
        <v>24</v>
      </c>
      <c r="C855" t="s">
        <v>45</v>
      </c>
      <c r="D855" t="s">
        <v>60</v>
      </c>
      <c r="E855" s="1">
        <v>44973</v>
      </c>
      <c r="F855" s="1">
        <v>44977</v>
      </c>
      <c r="G855">
        <v>11.5</v>
      </c>
      <c r="H855">
        <v>215.48</v>
      </c>
      <c r="I855" t="s">
        <v>16</v>
      </c>
      <c r="J855">
        <v>1702</v>
      </c>
      <c r="K855">
        <v>4</v>
      </c>
    </row>
    <row r="856" spans="1:11">
      <c r="A856" t="s">
        <v>903</v>
      </c>
      <c r="B856" t="s">
        <v>57</v>
      </c>
      <c r="C856" t="s">
        <v>71</v>
      </c>
      <c r="D856" t="s">
        <v>33</v>
      </c>
      <c r="E856" s="1">
        <v>45284</v>
      </c>
      <c r="F856" s="1">
        <v>45288</v>
      </c>
      <c r="G856">
        <v>7.2</v>
      </c>
      <c r="H856">
        <v>340.75</v>
      </c>
      <c r="I856" t="s">
        <v>68</v>
      </c>
      <c r="J856">
        <v>2010</v>
      </c>
      <c r="K856">
        <v>4</v>
      </c>
    </row>
    <row r="857" spans="1:11">
      <c r="A857" t="s">
        <v>904</v>
      </c>
      <c r="B857" t="s">
        <v>40</v>
      </c>
      <c r="C857" t="s">
        <v>25</v>
      </c>
      <c r="D857" t="s">
        <v>38</v>
      </c>
      <c r="E857" s="1">
        <v>44984</v>
      </c>
      <c r="F857" s="1">
        <v>44990</v>
      </c>
      <c r="G857">
        <v>12.9</v>
      </c>
      <c r="H857">
        <v>311.31</v>
      </c>
      <c r="I857" t="s">
        <v>16</v>
      </c>
      <c r="J857">
        <v>2323</v>
      </c>
      <c r="K857">
        <v>6</v>
      </c>
    </row>
    <row r="858" spans="1:11">
      <c r="A858" t="s">
        <v>905</v>
      </c>
      <c r="B858" t="s">
        <v>52</v>
      </c>
      <c r="C858" t="s">
        <v>41</v>
      </c>
      <c r="D858" t="s">
        <v>38</v>
      </c>
      <c r="E858" s="1">
        <v>44993</v>
      </c>
      <c r="F858" s="1">
        <v>44998</v>
      </c>
      <c r="G858">
        <v>16.3</v>
      </c>
      <c r="H858">
        <v>299.25</v>
      </c>
      <c r="I858" t="s">
        <v>16</v>
      </c>
      <c r="J858">
        <v>2263</v>
      </c>
      <c r="K858">
        <v>5</v>
      </c>
    </row>
    <row r="859" spans="1:11">
      <c r="A859" t="s">
        <v>906</v>
      </c>
      <c r="B859" t="s">
        <v>50</v>
      </c>
      <c r="C859" t="s">
        <v>58</v>
      </c>
      <c r="D859" t="s">
        <v>33</v>
      </c>
      <c r="E859" s="1">
        <v>45244</v>
      </c>
      <c r="F859" s="1">
        <v>45247</v>
      </c>
      <c r="G859">
        <v>8.3000000000000007</v>
      </c>
      <c r="H859">
        <v>166.12</v>
      </c>
      <c r="I859" t="s">
        <v>16</v>
      </c>
      <c r="J859">
        <v>1054</v>
      </c>
      <c r="K859">
        <v>3</v>
      </c>
    </row>
    <row r="860" spans="1:11">
      <c r="A860" t="s">
        <v>907</v>
      </c>
      <c r="B860" t="s">
        <v>28</v>
      </c>
      <c r="C860" t="s">
        <v>53</v>
      </c>
      <c r="D860" t="s">
        <v>33</v>
      </c>
      <c r="E860" s="1">
        <v>45224</v>
      </c>
      <c r="F860" s="1">
        <v>45228</v>
      </c>
      <c r="G860">
        <v>11.6</v>
      </c>
      <c r="H860">
        <v>147.12</v>
      </c>
      <c r="I860" t="s">
        <v>16</v>
      </c>
      <c r="J860">
        <v>905</v>
      </c>
      <c r="K860">
        <v>4</v>
      </c>
    </row>
    <row r="861" spans="1:11">
      <c r="A861" t="s">
        <v>908</v>
      </c>
      <c r="B861" t="s">
        <v>57</v>
      </c>
      <c r="C861" t="s">
        <v>18</v>
      </c>
      <c r="D861" t="s">
        <v>60</v>
      </c>
      <c r="E861" s="1">
        <v>45142</v>
      </c>
      <c r="F861" s="1">
        <v>45147</v>
      </c>
      <c r="G861">
        <v>9.1</v>
      </c>
      <c r="H861">
        <v>144.68</v>
      </c>
      <c r="I861" t="s">
        <v>16</v>
      </c>
      <c r="J861">
        <v>1069</v>
      </c>
      <c r="K861">
        <v>5</v>
      </c>
    </row>
    <row r="862" spans="1:11">
      <c r="A862" t="s">
        <v>909</v>
      </c>
      <c r="B862" t="s">
        <v>24</v>
      </c>
      <c r="C862" t="s">
        <v>29</v>
      </c>
      <c r="D862" t="s">
        <v>15</v>
      </c>
      <c r="E862" s="1">
        <v>44968</v>
      </c>
      <c r="F862" s="1">
        <v>44974</v>
      </c>
      <c r="G862">
        <v>26.8</v>
      </c>
      <c r="H862">
        <v>317.7</v>
      </c>
      <c r="I862" t="s">
        <v>16</v>
      </c>
      <c r="J862">
        <v>2274</v>
      </c>
      <c r="K862">
        <v>6</v>
      </c>
    </row>
    <row r="863" spans="1:11">
      <c r="A863" t="s">
        <v>910</v>
      </c>
      <c r="B863" t="s">
        <v>28</v>
      </c>
      <c r="C863" t="s">
        <v>18</v>
      </c>
      <c r="D863" t="s">
        <v>15</v>
      </c>
      <c r="E863" s="1">
        <v>45233</v>
      </c>
      <c r="F863" s="1">
        <v>45235</v>
      </c>
      <c r="G863">
        <v>14.9</v>
      </c>
      <c r="H863">
        <v>50</v>
      </c>
      <c r="I863" t="s">
        <v>16</v>
      </c>
      <c r="J863">
        <v>161</v>
      </c>
      <c r="K863">
        <v>2</v>
      </c>
    </row>
    <row r="864" spans="1:11">
      <c r="A864" t="s">
        <v>911</v>
      </c>
      <c r="B864" t="s">
        <v>13</v>
      </c>
      <c r="C864" t="s">
        <v>22</v>
      </c>
      <c r="D864" t="s">
        <v>26</v>
      </c>
      <c r="E864" s="1">
        <v>45189</v>
      </c>
      <c r="F864" s="1">
        <v>45193</v>
      </c>
      <c r="G864">
        <v>139.30000000000001</v>
      </c>
      <c r="H864">
        <v>235.27</v>
      </c>
      <c r="I864" t="s">
        <v>16</v>
      </c>
      <c r="J864">
        <v>547</v>
      </c>
      <c r="K864">
        <v>4</v>
      </c>
    </row>
    <row r="865" spans="1:11">
      <c r="A865" t="s">
        <v>912</v>
      </c>
      <c r="B865" t="s">
        <v>52</v>
      </c>
      <c r="C865" t="s">
        <v>47</v>
      </c>
      <c r="D865" t="s">
        <v>38</v>
      </c>
      <c r="E865" s="1">
        <v>45059</v>
      </c>
      <c r="F865" s="1">
        <v>45061</v>
      </c>
      <c r="G865">
        <v>85.2</v>
      </c>
      <c r="H865">
        <v>135.66999999999999</v>
      </c>
      <c r="I865" t="s">
        <v>16</v>
      </c>
      <c r="J865">
        <v>215</v>
      </c>
      <c r="K865">
        <v>2</v>
      </c>
    </row>
    <row r="866" spans="1:11">
      <c r="A866" t="s">
        <v>913</v>
      </c>
      <c r="B866" t="s">
        <v>40</v>
      </c>
      <c r="C866" t="s">
        <v>47</v>
      </c>
      <c r="D866" t="s">
        <v>33</v>
      </c>
      <c r="E866" s="1">
        <v>45202</v>
      </c>
      <c r="F866" s="1">
        <v>45208</v>
      </c>
      <c r="G866">
        <v>61.4</v>
      </c>
      <c r="H866">
        <v>405.09</v>
      </c>
      <c r="I866" t="s">
        <v>16</v>
      </c>
      <c r="J866">
        <v>2282</v>
      </c>
      <c r="K866">
        <v>6</v>
      </c>
    </row>
    <row r="867" spans="1:11">
      <c r="A867" t="s">
        <v>914</v>
      </c>
      <c r="B867" t="s">
        <v>31</v>
      </c>
      <c r="C867" t="s">
        <v>45</v>
      </c>
      <c r="D867" t="s">
        <v>38</v>
      </c>
      <c r="E867" s="1">
        <v>45161</v>
      </c>
      <c r="F867" s="1">
        <v>45172</v>
      </c>
      <c r="G867">
        <v>72.5</v>
      </c>
      <c r="H867">
        <v>350.54</v>
      </c>
      <c r="I867" t="s">
        <v>48</v>
      </c>
      <c r="J867">
        <v>2411</v>
      </c>
      <c r="K867">
        <v>7</v>
      </c>
    </row>
    <row r="868" spans="1:11">
      <c r="A868" t="s">
        <v>915</v>
      </c>
      <c r="B868" t="s">
        <v>50</v>
      </c>
      <c r="C868" t="s">
        <v>29</v>
      </c>
      <c r="D868" t="s">
        <v>19</v>
      </c>
      <c r="E868" s="1">
        <v>45106</v>
      </c>
      <c r="F868" s="1">
        <v>45109</v>
      </c>
      <c r="G868">
        <v>26.8</v>
      </c>
      <c r="H868">
        <v>176.88</v>
      </c>
      <c r="I868" t="s">
        <v>16</v>
      </c>
      <c r="J868">
        <v>1008</v>
      </c>
      <c r="K868">
        <v>3</v>
      </c>
    </row>
    <row r="869" spans="1:11">
      <c r="A869" t="s">
        <v>916</v>
      </c>
      <c r="B869" t="s">
        <v>31</v>
      </c>
      <c r="C869" t="s">
        <v>14</v>
      </c>
      <c r="D869" t="s">
        <v>33</v>
      </c>
      <c r="E869" s="1">
        <v>45115</v>
      </c>
      <c r="F869" s="1">
        <v>45125</v>
      </c>
      <c r="G869">
        <v>34.200000000000003</v>
      </c>
      <c r="H869">
        <v>93.52</v>
      </c>
      <c r="I869" t="s">
        <v>48</v>
      </c>
      <c r="J869">
        <v>439</v>
      </c>
      <c r="K869">
        <v>3</v>
      </c>
    </row>
    <row r="870" spans="1:11">
      <c r="A870" t="s">
        <v>917</v>
      </c>
      <c r="B870" t="s">
        <v>31</v>
      </c>
      <c r="C870" t="s">
        <v>45</v>
      </c>
      <c r="D870" t="s">
        <v>33</v>
      </c>
      <c r="E870" s="1">
        <v>44994</v>
      </c>
      <c r="G870">
        <v>45.4</v>
      </c>
      <c r="H870">
        <v>84.91</v>
      </c>
      <c r="I870" t="s">
        <v>16</v>
      </c>
      <c r="J870">
        <v>151</v>
      </c>
      <c r="K870">
        <v>2</v>
      </c>
    </row>
    <row r="871" spans="1:11">
      <c r="A871" t="s">
        <v>918</v>
      </c>
      <c r="B871" t="s">
        <v>13</v>
      </c>
      <c r="C871" t="s">
        <v>25</v>
      </c>
      <c r="D871" t="s">
        <v>43</v>
      </c>
      <c r="E871" s="1">
        <v>45115</v>
      </c>
      <c r="F871" s="1">
        <v>45120</v>
      </c>
      <c r="G871">
        <v>64</v>
      </c>
      <c r="H871">
        <v>233.21</v>
      </c>
      <c r="I871" t="s">
        <v>16</v>
      </c>
      <c r="J871">
        <v>1235</v>
      </c>
      <c r="K871">
        <v>5</v>
      </c>
    </row>
    <row r="872" spans="1:11">
      <c r="A872" t="s">
        <v>919</v>
      </c>
      <c r="B872" t="s">
        <v>31</v>
      </c>
      <c r="C872" t="s">
        <v>47</v>
      </c>
      <c r="D872" t="s">
        <v>38</v>
      </c>
      <c r="E872" s="1">
        <v>45178</v>
      </c>
      <c r="F872" s="1">
        <v>45182</v>
      </c>
      <c r="G872">
        <v>32.9</v>
      </c>
      <c r="H872">
        <v>227.09</v>
      </c>
      <c r="I872" t="s">
        <v>63</v>
      </c>
      <c r="J872">
        <v>1512</v>
      </c>
      <c r="K872">
        <v>4</v>
      </c>
    </row>
    <row r="873" spans="1:11">
      <c r="A873" t="s">
        <v>920</v>
      </c>
      <c r="B873" t="s">
        <v>13</v>
      </c>
      <c r="C873" t="s">
        <v>25</v>
      </c>
      <c r="D873" t="s">
        <v>38</v>
      </c>
      <c r="E873" s="1">
        <v>45081</v>
      </c>
      <c r="F873" s="1">
        <v>45087</v>
      </c>
      <c r="G873">
        <v>81.900000000000006</v>
      </c>
      <c r="H873">
        <v>300.38</v>
      </c>
      <c r="I873" t="s">
        <v>16</v>
      </c>
      <c r="J873">
        <v>1836</v>
      </c>
      <c r="K873">
        <v>6</v>
      </c>
    </row>
    <row r="874" spans="1:11">
      <c r="A874" t="s">
        <v>921</v>
      </c>
      <c r="B874" t="s">
        <v>13</v>
      </c>
      <c r="C874" t="s">
        <v>47</v>
      </c>
      <c r="D874" t="s">
        <v>26</v>
      </c>
      <c r="E874" s="1">
        <v>45017</v>
      </c>
      <c r="F874" s="1">
        <v>45024</v>
      </c>
      <c r="G874">
        <v>16.7</v>
      </c>
      <c r="H874">
        <v>340.65</v>
      </c>
      <c r="I874" t="s">
        <v>16</v>
      </c>
      <c r="J874">
        <v>2415</v>
      </c>
      <c r="K874">
        <v>7</v>
      </c>
    </row>
    <row r="875" spans="1:11">
      <c r="A875" t="s">
        <v>922</v>
      </c>
      <c r="B875" t="s">
        <v>28</v>
      </c>
      <c r="C875" t="s">
        <v>25</v>
      </c>
      <c r="D875" t="s">
        <v>38</v>
      </c>
      <c r="E875" s="1">
        <v>44952</v>
      </c>
      <c r="F875" s="1">
        <v>44958</v>
      </c>
      <c r="G875">
        <v>17.399999999999999</v>
      </c>
      <c r="H875">
        <v>249.13</v>
      </c>
      <c r="I875" t="s">
        <v>48</v>
      </c>
      <c r="J875">
        <v>1969</v>
      </c>
      <c r="K875">
        <v>5</v>
      </c>
    </row>
    <row r="876" spans="1:11">
      <c r="A876" t="s">
        <v>923</v>
      </c>
      <c r="B876" t="s">
        <v>57</v>
      </c>
      <c r="C876" t="s">
        <v>18</v>
      </c>
      <c r="D876" t="s">
        <v>26</v>
      </c>
      <c r="E876" s="1">
        <v>45137</v>
      </c>
      <c r="F876" s="1">
        <v>45140</v>
      </c>
      <c r="G876">
        <v>108.8</v>
      </c>
      <c r="H876">
        <v>204.71</v>
      </c>
      <c r="I876" t="s">
        <v>16</v>
      </c>
      <c r="J876">
        <v>784</v>
      </c>
      <c r="K876">
        <v>3</v>
      </c>
    </row>
    <row r="877" spans="1:11">
      <c r="A877" t="s">
        <v>924</v>
      </c>
      <c r="B877" t="s">
        <v>31</v>
      </c>
      <c r="C877" t="s">
        <v>14</v>
      </c>
      <c r="D877" t="s">
        <v>43</v>
      </c>
      <c r="E877" s="1">
        <v>44954</v>
      </c>
      <c r="F877" s="1">
        <v>44959</v>
      </c>
      <c r="G877">
        <v>25.7</v>
      </c>
      <c r="H877">
        <v>227.68</v>
      </c>
      <c r="I877" t="s">
        <v>16</v>
      </c>
      <c r="J877">
        <v>1687</v>
      </c>
      <c r="K877">
        <v>5</v>
      </c>
    </row>
    <row r="878" spans="1:11">
      <c r="A878" t="s">
        <v>925</v>
      </c>
      <c r="B878" t="s">
        <v>24</v>
      </c>
      <c r="C878" t="s">
        <v>22</v>
      </c>
      <c r="D878" t="s">
        <v>60</v>
      </c>
      <c r="E878" s="1">
        <v>45080</v>
      </c>
      <c r="F878" s="1">
        <v>45085</v>
      </c>
      <c r="G878">
        <v>11.6</v>
      </c>
      <c r="H878">
        <v>214.12</v>
      </c>
      <c r="I878" t="s">
        <v>16</v>
      </c>
      <c r="J878">
        <v>1624</v>
      </c>
      <c r="K878">
        <v>5</v>
      </c>
    </row>
    <row r="879" spans="1:11">
      <c r="A879" t="s">
        <v>926</v>
      </c>
      <c r="B879" t="s">
        <v>31</v>
      </c>
      <c r="C879" t="s">
        <v>14</v>
      </c>
      <c r="D879" t="s">
        <v>38</v>
      </c>
      <c r="E879" s="1">
        <v>45137</v>
      </c>
      <c r="F879" s="1">
        <v>45139</v>
      </c>
      <c r="G879">
        <v>27.3</v>
      </c>
      <c r="H879">
        <v>70.849999999999994</v>
      </c>
      <c r="I879" t="s">
        <v>16</v>
      </c>
      <c r="J879">
        <v>337</v>
      </c>
      <c r="K879">
        <v>2</v>
      </c>
    </row>
    <row r="880" spans="1:11">
      <c r="A880" t="s">
        <v>927</v>
      </c>
      <c r="B880" t="s">
        <v>28</v>
      </c>
      <c r="C880" t="s">
        <v>37</v>
      </c>
      <c r="D880" t="s">
        <v>38</v>
      </c>
      <c r="E880" s="1">
        <v>45019</v>
      </c>
      <c r="F880" s="1">
        <v>45024</v>
      </c>
      <c r="G880">
        <v>11.9</v>
      </c>
      <c r="H880">
        <v>260.02</v>
      </c>
      <c r="I880" t="s">
        <v>16</v>
      </c>
      <c r="J880">
        <v>2131</v>
      </c>
      <c r="K880">
        <v>5</v>
      </c>
    </row>
    <row r="881" spans="1:11">
      <c r="A881" t="s">
        <v>928</v>
      </c>
      <c r="B881" t="s">
        <v>31</v>
      </c>
      <c r="C881" t="s">
        <v>71</v>
      </c>
      <c r="D881" t="s">
        <v>26</v>
      </c>
      <c r="E881" s="1">
        <v>45203</v>
      </c>
      <c r="F881" s="1">
        <v>45208</v>
      </c>
      <c r="G881">
        <v>125.8</v>
      </c>
      <c r="H881">
        <v>154.81</v>
      </c>
      <c r="I881" t="s">
        <v>16</v>
      </c>
      <c r="J881">
        <v>144</v>
      </c>
      <c r="K881">
        <v>5</v>
      </c>
    </row>
    <row r="882" spans="1:11">
      <c r="A882" t="s">
        <v>929</v>
      </c>
      <c r="B882" t="s">
        <v>40</v>
      </c>
      <c r="C882" t="s">
        <v>53</v>
      </c>
      <c r="D882" t="s">
        <v>43</v>
      </c>
      <c r="E882" s="1">
        <v>45002</v>
      </c>
      <c r="F882" s="1">
        <v>45006</v>
      </c>
      <c r="G882">
        <v>24.7</v>
      </c>
      <c r="H882">
        <v>73.47</v>
      </c>
      <c r="I882" t="s">
        <v>16</v>
      </c>
      <c r="J882">
        <v>371</v>
      </c>
      <c r="K882">
        <v>4</v>
      </c>
    </row>
    <row r="883" spans="1:11">
      <c r="A883" t="s">
        <v>930</v>
      </c>
      <c r="B883" t="s">
        <v>57</v>
      </c>
      <c r="C883" t="s">
        <v>58</v>
      </c>
      <c r="D883" t="s">
        <v>60</v>
      </c>
      <c r="E883" s="1">
        <v>45133</v>
      </c>
      <c r="F883" s="1">
        <v>45138</v>
      </c>
      <c r="G883">
        <v>22.8</v>
      </c>
      <c r="H883">
        <v>287.85000000000002</v>
      </c>
      <c r="I883" t="s">
        <v>16</v>
      </c>
      <c r="J883">
        <v>2393</v>
      </c>
      <c r="K883">
        <v>5</v>
      </c>
    </row>
    <row r="884" spans="1:11">
      <c r="A884" t="s">
        <v>931</v>
      </c>
      <c r="B884" t="s">
        <v>28</v>
      </c>
      <c r="C884" t="s">
        <v>47</v>
      </c>
      <c r="D884" t="s">
        <v>19</v>
      </c>
      <c r="E884" s="1">
        <v>45054</v>
      </c>
      <c r="F884" s="1">
        <v>45059</v>
      </c>
      <c r="G884">
        <v>18.100000000000001</v>
      </c>
      <c r="H884">
        <v>236.64</v>
      </c>
      <c r="I884" t="s">
        <v>16</v>
      </c>
      <c r="J884">
        <v>1504</v>
      </c>
      <c r="K884">
        <v>5</v>
      </c>
    </row>
    <row r="885" spans="1:11">
      <c r="A885" t="s">
        <v>932</v>
      </c>
      <c r="B885" t="s">
        <v>57</v>
      </c>
      <c r="C885" t="s">
        <v>45</v>
      </c>
      <c r="D885" t="s">
        <v>38</v>
      </c>
      <c r="E885" s="1">
        <v>45222</v>
      </c>
      <c r="F885" s="1">
        <v>45229</v>
      </c>
      <c r="G885">
        <v>8.6999999999999993</v>
      </c>
      <c r="H885">
        <v>296.81</v>
      </c>
      <c r="I885" t="s">
        <v>16</v>
      </c>
      <c r="J885">
        <v>2333</v>
      </c>
      <c r="K885">
        <v>7</v>
      </c>
    </row>
    <row r="886" spans="1:11">
      <c r="A886" t="s">
        <v>933</v>
      </c>
      <c r="B886" t="s">
        <v>50</v>
      </c>
      <c r="C886" t="s">
        <v>29</v>
      </c>
      <c r="D886" t="s">
        <v>33</v>
      </c>
      <c r="E886" s="1">
        <v>45225</v>
      </c>
      <c r="F886" s="1">
        <v>45226</v>
      </c>
      <c r="G886">
        <v>27.5</v>
      </c>
      <c r="H886">
        <v>68.709999999999994</v>
      </c>
      <c r="I886" t="s">
        <v>16</v>
      </c>
      <c r="J886">
        <v>303</v>
      </c>
      <c r="K886">
        <v>1</v>
      </c>
    </row>
    <row r="887" spans="1:11">
      <c r="A887" t="s">
        <v>934</v>
      </c>
      <c r="B887" t="s">
        <v>40</v>
      </c>
      <c r="C887" t="s">
        <v>25</v>
      </c>
      <c r="D887" t="s">
        <v>43</v>
      </c>
      <c r="E887" s="1">
        <v>45270</v>
      </c>
      <c r="F887" s="1">
        <v>45275</v>
      </c>
      <c r="G887">
        <v>10.5</v>
      </c>
      <c r="H887">
        <v>308.36</v>
      </c>
      <c r="I887" t="s">
        <v>63</v>
      </c>
      <c r="J887">
        <v>2147</v>
      </c>
      <c r="K887">
        <v>5</v>
      </c>
    </row>
    <row r="888" spans="1:11">
      <c r="A888" t="s">
        <v>935</v>
      </c>
      <c r="B888" t="s">
        <v>57</v>
      </c>
      <c r="C888" t="s">
        <v>32</v>
      </c>
      <c r="D888" t="s">
        <v>60</v>
      </c>
      <c r="E888" s="1">
        <v>45285</v>
      </c>
      <c r="F888" s="1">
        <v>45297</v>
      </c>
      <c r="G888">
        <v>24.8</v>
      </c>
      <c r="H888">
        <v>54.1</v>
      </c>
      <c r="I888" t="s">
        <v>48</v>
      </c>
      <c r="J888">
        <v>118</v>
      </c>
      <c r="K888">
        <v>1</v>
      </c>
    </row>
    <row r="889" spans="1:11">
      <c r="A889" t="s">
        <v>936</v>
      </c>
      <c r="B889" t="s">
        <v>31</v>
      </c>
      <c r="C889" t="s">
        <v>47</v>
      </c>
      <c r="D889" t="s">
        <v>38</v>
      </c>
      <c r="E889" s="1">
        <v>45247</v>
      </c>
      <c r="F889" s="1">
        <v>45253</v>
      </c>
      <c r="G889">
        <v>42.3</v>
      </c>
      <c r="H889">
        <v>378.62</v>
      </c>
      <c r="I889" t="s">
        <v>16</v>
      </c>
      <c r="J889">
        <v>2282</v>
      </c>
      <c r="K889">
        <v>6</v>
      </c>
    </row>
    <row r="890" spans="1:11">
      <c r="A890" t="s">
        <v>937</v>
      </c>
      <c r="B890" t="s">
        <v>36</v>
      </c>
      <c r="C890" t="s">
        <v>18</v>
      </c>
      <c r="D890" t="s">
        <v>60</v>
      </c>
      <c r="E890" s="1">
        <v>44982</v>
      </c>
      <c r="F890" s="1">
        <v>44989</v>
      </c>
      <c r="G890">
        <v>13.5</v>
      </c>
      <c r="H890">
        <v>246</v>
      </c>
      <c r="I890" t="s">
        <v>16</v>
      </c>
      <c r="J890">
        <v>2106</v>
      </c>
      <c r="K890">
        <v>7</v>
      </c>
    </row>
    <row r="891" spans="1:11">
      <c r="A891" t="s">
        <v>938</v>
      </c>
      <c r="B891" t="s">
        <v>21</v>
      </c>
      <c r="C891" t="s">
        <v>53</v>
      </c>
      <c r="D891" t="s">
        <v>26</v>
      </c>
      <c r="E891" s="1">
        <v>45076</v>
      </c>
      <c r="F891" s="1">
        <v>45079</v>
      </c>
      <c r="G891">
        <v>9.4</v>
      </c>
      <c r="H891">
        <v>61.04</v>
      </c>
      <c r="I891" t="s">
        <v>16</v>
      </c>
      <c r="J891">
        <v>373</v>
      </c>
      <c r="K891">
        <v>3</v>
      </c>
    </row>
    <row r="892" spans="1:11">
      <c r="A892" t="s">
        <v>939</v>
      </c>
      <c r="B892" t="s">
        <v>57</v>
      </c>
      <c r="C892" t="s">
        <v>14</v>
      </c>
      <c r="D892" t="s">
        <v>26</v>
      </c>
      <c r="E892" s="1">
        <v>45063</v>
      </c>
      <c r="F892" s="1">
        <v>45067</v>
      </c>
      <c r="G892">
        <v>20.6</v>
      </c>
      <c r="H892">
        <v>219.02</v>
      </c>
      <c r="I892" t="s">
        <v>16</v>
      </c>
      <c r="J892">
        <v>1611</v>
      </c>
      <c r="K892">
        <v>4</v>
      </c>
    </row>
    <row r="893" spans="1:11">
      <c r="A893" t="s">
        <v>940</v>
      </c>
      <c r="B893" t="s">
        <v>52</v>
      </c>
      <c r="C893" t="s">
        <v>18</v>
      </c>
      <c r="D893" t="s">
        <v>43</v>
      </c>
      <c r="E893" s="1">
        <v>45214</v>
      </c>
      <c r="F893" s="1">
        <v>45218</v>
      </c>
      <c r="G893">
        <v>75.7</v>
      </c>
      <c r="H893">
        <v>211.3</v>
      </c>
      <c r="I893" t="s">
        <v>16</v>
      </c>
      <c r="J893">
        <v>870</v>
      </c>
      <c r="K893">
        <v>4</v>
      </c>
    </row>
    <row r="894" spans="1:11">
      <c r="A894" t="s">
        <v>941</v>
      </c>
      <c r="B894" t="s">
        <v>28</v>
      </c>
      <c r="C894" t="s">
        <v>32</v>
      </c>
      <c r="D894" t="s">
        <v>43</v>
      </c>
      <c r="E894" s="1">
        <v>45260</v>
      </c>
      <c r="F894" s="1">
        <v>45261</v>
      </c>
      <c r="G894">
        <v>11.3</v>
      </c>
      <c r="H894">
        <v>29.98</v>
      </c>
      <c r="I894" t="s">
        <v>16</v>
      </c>
      <c r="J894">
        <v>104</v>
      </c>
      <c r="K894">
        <v>1</v>
      </c>
    </row>
    <row r="895" spans="1:11">
      <c r="A895" t="s">
        <v>942</v>
      </c>
      <c r="B895" t="s">
        <v>28</v>
      </c>
      <c r="C895" t="s">
        <v>29</v>
      </c>
      <c r="D895" t="s">
        <v>26</v>
      </c>
      <c r="E895" s="1">
        <v>45247</v>
      </c>
      <c r="F895" s="1">
        <v>45250</v>
      </c>
      <c r="G895">
        <v>10.5</v>
      </c>
      <c r="H895">
        <v>154.75</v>
      </c>
      <c r="I895" t="s">
        <v>16</v>
      </c>
      <c r="J895">
        <v>917</v>
      </c>
      <c r="K895">
        <v>3</v>
      </c>
    </row>
    <row r="896" spans="1:11">
      <c r="A896" t="s">
        <v>943</v>
      </c>
      <c r="B896" t="s">
        <v>21</v>
      </c>
      <c r="C896" t="s">
        <v>22</v>
      </c>
      <c r="D896" t="s">
        <v>60</v>
      </c>
      <c r="E896" s="1">
        <v>45233</v>
      </c>
      <c r="F896" s="1">
        <v>45236</v>
      </c>
      <c r="G896">
        <v>21</v>
      </c>
      <c r="H896">
        <v>186.14</v>
      </c>
      <c r="I896" t="s">
        <v>16</v>
      </c>
      <c r="J896">
        <v>1090</v>
      </c>
      <c r="K896">
        <v>3</v>
      </c>
    </row>
    <row r="897" spans="1:11">
      <c r="A897" t="s">
        <v>944</v>
      </c>
      <c r="B897" t="s">
        <v>36</v>
      </c>
      <c r="C897" t="s">
        <v>82</v>
      </c>
      <c r="D897" t="s">
        <v>15</v>
      </c>
      <c r="E897" s="1">
        <v>45284</v>
      </c>
      <c r="F897" s="1">
        <v>45286</v>
      </c>
      <c r="G897">
        <v>28.7</v>
      </c>
      <c r="H897">
        <v>188.12</v>
      </c>
      <c r="I897" t="s">
        <v>16</v>
      </c>
      <c r="J897">
        <v>1000</v>
      </c>
      <c r="K897">
        <v>2</v>
      </c>
    </row>
    <row r="898" spans="1:11">
      <c r="A898" t="s">
        <v>945</v>
      </c>
      <c r="B898" t="s">
        <v>13</v>
      </c>
      <c r="C898" t="s">
        <v>37</v>
      </c>
      <c r="D898" t="s">
        <v>43</v>
      </c>
      <c r="E898" s="1">
        <v>45083</v>
      </c>
      <c r="F898" s="1">
        <v>45085</v>
      </c>
      <c r="G898">
        <v>14.1</v>
      </c>
      <c r="H898">
        <v>42.48</v>
      </c>
      <c r="I898" t="s">
        <v>16</v>
      </c>
      <c r="J898">
        <v>181</v>
      </c>
      <c r="K898">
        <v>2</v>
      </c>
    </row>
    <row r="899" spans="1:11">
      <c r="A899" t="s">
        <v>946</v>
      </c>
      <c r="B899" t="s">
        <v>40</v>
      </c>
      <c r="C899" t="s">
        <v>53</v>
      </c>
      <c r="D899" t="s">
        <v>15</v>
      </c>
      <c r="E899" s="1">
        <v>45005</v>
      </c>
      <c r="F899" s="1">
        <v>45012</v>
      </c>
      <c r="G899">
        <v>35.700000000000003</v>
      </c>
      <c r="H899">
        <v>341.41</v>
      </c>
      <c r="I899" t="s">
        <v>16</v>
      </c>
      <c r="J899">
        <v>2300</v>
      </c>
      <c r="K899">
        <v>7</v>
      </c>
    </row>
    <row r="900" spans="1:11">
      <c r="A900" t="s">
        <v>947</v>
      </c>
      <c r="B900" t="s">
        <v>28</v>
      </c>
      <c r="C900" t="s">
        <v>82</v>
      </c>
      <c r="D900" t="s">
        <v>26</v>
      </c>
      <c r="E900" s="1">
        <v>45180</v>
      </c>
      <c r="F900" s="1">
        <v>45185</v>
      </c>
      <c r="G900">
        <v>40.5</v>
      </c>
      <c r="H900">
        <v>175.32</v>
      </c>
      <c r="I900" t="s">
        <v>16</v>
      </c>
      <c r="J900">
        <v>1176</v>
      </c>
      <c r="K900">
        <v>5</v>
      </c>
    </row>
    <row r="901" spans="1:11">
      <c r="A901" t="s">
        <v>948</v>
      </c>
      <c r="B901" t="s">
        <v>40</v>
      </c>
      <c r="C901" t="s">
        <v>71</v>
      </c>
      <c r="D901" t="s">
        <v>15</v>
      </c>
      <c r="E901" s="1">
        <v>45006</v>
      </c>
      <c r="F901" s="1">
        <v>45021</v>
      </c>
      <c r="G901">
        <v>18.2</v>
      </c>
      <c r="H901">
        <v>150.78</v>
      </c>
      <c r="I901" t="s">
        <v>48</v>
      </c>
      <c r="J901">
        <v>915</v>
      </c>
      <c r="K901">
        <v>3</v>
      </c>
    </row>
    <row r="902" spans="1:11">
      <c r="A902" t="s">
        <v>949</v>
      </c>
      <c r="B902" t="s">
        <v>21</v>
      </c>
      <c r="C902" t="s">
        <v>71</v>
      </c>
      <c r="D902" t="s">
        <v>19</v>
      </c>
      <c r="E902" s="1">
        <v>45238</v>
      </c>
      <c r="F902" s="1">
        <v>45253</v>
      </c>
      <c r="G902">
        <v>11.9</v>
      </c>
      <c r="H902">
        <v>103</v>
      </c>
      <c r="I902" t="s">
        <v>48</v>
      </c>
      <c r="J902">
        <v>495</v>
      </c>
      <c r="K902">
        <v>6</v>
      </c>
    </row>
    <row r="903" spans="1:11">
      <c r="A903" t="s">
        <v>950</v>
      </c>
      <c r="B903" t="s">
        <v>13</v>
      </c>
      <c r="C903" t="s">
        <v>58</v>
      </c>
      <c r="D903" t="s">
        <v>19</v>
      </c>
      <c r="E903" s="1">
        <v>45245</v>
      </c>
      <c r="F903" s="1">
        <v>45247</v>
      </c>
      <c r="G903">
        <v>24.4</v>
      </c>
      <c r="H903">
        <v>146.91</v>
      </c>
      <c r="I903" t="s">
        <v>16</v>
      </c>
      <c r="J903">
        <v>605</v>
      </c>
      <c r="K903">
        <v>2</v>
      </c>
    </row>
    <row r="904" spans="1:11">
      <c r="A904" t="s">
        <v>951</v>
      </c>
      <c r="B904" t="s">
        <v>21</v>
      </c>
      <c r="C904" t="s">
        <v>29</v>
      </c>
      <c r="D904" t="s">
        <v>19</v>
      </c>
      <c r="E904" s="1">
        <v>45255</v>
      </c>
      <c r="F904" s="1">
        <v>45258</v>
      </c>
      <c r="G904">
        <v>18</v>
      </c>
      <c r="H904">
        <v>271.66000000000003</v>
      </c>
      <c r="I904" t="s">
        <v>16</v>
      </c>
      <c r="J904">
        <v>1435</v>
      </c>
      <c r="K904">
        <v>3</v>
      </c>
    </row>
    <row r="905" spans="1:11">
      <c r="A905" t="s">
        <v>952</v>
      </c>
      <c r="B905" t="s">
        <v>13</v>
      </c>
      <c r="C905" t="s">
        <v>71</v>
      </c>
      <c r="D905" t="s">
        <v>38</v>
      </c>
      <c r="E905" s="1">
        <v>45189</v>
      </c>
      <c r="F905" s="1">
        <v>45194</v>
      </c>
      <c r="G905">
        <v>11.8</v>
      </c>
      <c r="H905">
        <v>268.58999999999997</v>
      </c>
      <c r="I905" t="s">
        <v>16</v>
      </c>
      <c r="J905">
        <v>1973</v>
      </c>
      <c r="K905">
        <v>5</v>
      </c>
    </row>
    <row r="906" spans="1:11">
      <c r="A906" t="s">
        <v>953</v>
      </c>
      <c r="B906" t="s">
        <v>36</v>
      </c>
      <c r="C906" t="s">
        <v>58</v>
      </c>
      <c r="D906" t="s">
        <v>43</v>
      </c>
      <c r="E906" s="1">
        <v>45019</v>
      </c>
      <c r="F906" s="1">
        <v>45022</v>
      </c>
      <c r="G906">
        <v>30.9</v>
      </c>
      <c r="H906">
        <v>46.94</v>
      </c>
      <c r="I906" t="s">
        <v>16</v>
      </c>
      <c r="J906">
        <v>106</v>
      </c>
      <c r="K906">
        <v>3</v>
      </c>
    </row>
    <row r="907" spans="1:11">
      <c r="A907" t="s">
        <v>954</v>
      </c>
      <c r="B907" t="s">
        <v>40</v>
      </c>
      <c r="C907" t="s">
        <v>55</v>
      </c>
      <c r="D907" t="s">
        <v>26</v>
      </c>
      <c r="E907" s="1">
        <v>45222</v>
      </c>
      <c r="F907" s="1">
        <v>45225</v>
      </c>
      <c r="G907">
        <v>59.4</v>
      </c>
      <c r="H907">
        <v>192.19</v>
      </c>
      <c r="I907" t="s">
        <v>16</v>
      </c>
      <c r="J907">
        <v>1118</v>
      </c>
      <c r="K907">
        <v>3</v>
      </c>
    </row>
    <row r="908" spans="1:11">
      <c r="A908" t="s">
        <v>955</v>
      </c>
      <c r="B908" t="s">
        <v>28</v>
      </c>
      <c r="C908" t="s">
        <v>14</v>
      </c>
      <c r="D908" t="s">
        <v>38</v>
      </c>
      <c r="E908" s="1">
        <v>45258</v>
      </c>
      <c r="F908" s="1">
        <v>45263</v>
      </c>
      <c r="G908">
        <v>40.299999999999997</v>
      </c>
      <c r="H908">
        <v>208.84</v>
      </c>
      <c r="I908" t="s">
        <v>16</v>
      </c>
      <c r="J908">
        <v>1034</v>
      </c>
      <c r="K908">
        <v>5</v>
      </c>
    </row>
    <row r="909" spans="1:11">
      <c r="A909" t="s">
        <v>956</v>
      </c>
      <c r="B909" t="s">
        <v>36</v>
      </c>
      <c r="C909" t="s">
        <v>25</v>
      </c>
      <c r="D909" t="s">
        <v>33</v>
      </c>
      <c r="E909" s="1">
        <v>45244</v>
      </c>
      <c r="F909" s="1">
        <v>45249</v>
      </c>
      <c r="G909">
        <v>14</v>
      </c>
      <c r="H909">
        <v>337</v>
      </c>
      <c r="I909" t="s">
        <v>16</v>
      </c>
      <c r="J909">
        <v>1878</v>
      </c>
      <c r="K909">
        <v>5</v>
      </c>
    </row>
    <row r="910" spans="1:11">
      <c r="A910" t="s">
        <v>957</v>
      </c>
      <c r="B910" t="s">
        <v>28</v>
      </c>
      <c r="C910" t="s">
        <v>25</v>
      </c>
      <c r="D910" t="s">
        <v>19</v>
      </c>
      <c r="E910" s="1">
        <v>45031</v>
      </c>
      <c r="F910" s="1">
        <v>45035</v>
      </c>
      <c r="G910">
        <v>33.700000000000003</v>
      </c>
      <c r="H910">
        <v>302.22000000000003</v>
      </c>
      <c r="I910" t="s">
        <v>16</v>
      </c>
      <c r="J910">
        <v>1819</v>
      </c>
      <c r="K910">
        <v>4</v>
      </c>
    </row>
    <row r="911" spans="1:11">
      <c r="A911" t="s">
        <v>958</v>
      </c>
      <c r="B911" t="s">
        <v>28</v>
      </c>
      <c r="C911" t="s">
        <v>29</v>
      </c>
      <c r="D911" t="s">
        <v>43</v>
      </c>
      <c r="E911" s="1">
        <v>44930</v>
      </c>
      <c r="F911" s="1">
        <v>44938</v>
      </c>
      <c r="G911">
        <v>32</v>
      </c>
      <c r="H911">
        <v>327.10000000000002</v>
      </c>
      <c r="I911" t="s">
        <v>16</v>
      </c>
      <c r="J911">
        <v>2355</v>
      </c>
      <c r="K911">
        <v>8</v>
      </c>
    </row>
    <row r="912" spans="1:11">
      <c r="A912" t="s">
        <v>959</v>
      </c>
      <c r="B912" t="s">
        <v>28</v>
      </c>
      <c r="C912" t="s">
        <v>47</v>
      </c>
      <c r="D912" t="s">
        <v>38</v>
      </c>
      <c r="E912" s="1">
        <v>44969</v>
      </c>
      <c r="F912" s="1">
        <v>44974</v>
      </c>
      <c r="G912">
        <v>15.9</v>
      </c>
      <c r="H912">
        <v>308.5</v>
      </c>
      <c r="I912" t="s">
        <v>16</v>
      </c>
      <c r="J912">
        <v>2282</v>
      </c>
      <c r="K912">
        <v>5</v>
      </c>
    </row>
    <row r="913" spans="1:11">
      <c r="A913" t="s">
        <v>960</v>
      </c>
      <c r="B913" t="s">
        <v>24</v>
      </c>
      <c r="C913" t="s">
        <v>32</v>
      </c>
      <c r="D913" t="s">
        <v>43</v>
      </c>
      <c r="E913" s="1">
        <v>45219</v>
      </c>
      <c r="F913" s="1">
        <v>45221</v>
      </c>
      <c r="G913">
        <v>31.6</v>
      </c>
      <c r="H913">
        <v>74.81</v>
      </c>
      <c r="I913" t="s">
        <v>16</v>
      </c>
      <c r="J913">
        <v>308</v>
      </c>
      <c r="K913">
        <v>2</v>
      </c>
    </row>
    <row r="914" spans="1:11">
      <c r="A914" t="s">
        <v>961</v>
      </c>
      <c r="B914" t="s">
        <v>28</v>
      </c>
      <c r="C914" t="s">
        <v>37</v>
      </c>
      <c r="D914" t="s">
        <v>38</v>
      </c>
      <c r="E914" s="1">
        <v>45208</v>
      </c>
      <c r="F914" s="1">
        <v>45212</v>
      </c>
      <c r="G914">
        <v>16.5</v>
      </c>
      <c r="H914">
        <v>169.6</v>
      </c>
      <c r="I914" t="s">
        <v>61</v>
      </c>
      <c r="J914">
        <v>1221</v>
      </c>
      <c r="K914">
        <v>4</v>
      </c>
    </row>
    <row r="915" spans="1:11">
      <c r="A915" t="s">
        <v>962</v>
      </c>
      <c r="B915" t="s">
        <v>24</v>
      </c>
      <c r="C915" t="s">
        <v>71</v>
      </c>
      <c r="D915" t="s">
        <v>15</v>
      </c>
      <c r="E915" s="1">
        <v>45214</v>
      </c>
      <c r="F915" s="1">
        <v>45228</v>
      </c>
      <c r="G915">
        <v>24.6</v>
      </c>
      <c r="H915">
        <v>150.37</v>
      </c>
      <c r="I915" t="s">
        <v>48</v>
      </c>
      <c r="J915">
        <v>852</v>
      </c>
      <c r="K915">
        <v>4</v>
      </c>
    </row>
    <row r="916" spans="1:11">
      <c r="A916" t="s">
        <v>963</v>
      </c>
      <c r="B916" t="s">
        <v>31</v>
      </c>
      <c r="C916" t="s">
        <v>22</v>
      </c>
      <c r="D916" t="s">
        <v>26</v>
      </c>
      <c r="E916" s="1">
        <v>45243</v>
      </c>
      <c r="F916" s="1">
        <v>45246</v>
      </c>
      <c r="G916">
        <v>22.5</v>
      </c>
      <c r="H916">
        <v>172.21</v>
      </c>
      <c r="I916" t="s">
        <v>16</v>
      </c>
      <c r="J916">
        <v>945</v>
      </c>
      <c r="K916">
        <v>3</v>
      </c>
    </row>
    <row r="917" spans="1:11">
      <c r="A917" t="s">
        <v>964</v>
      </c>
      <c r="B917" t="s">
        <v>24</v>
      </c>
      <c r="C917" t="s">
        <v>53</v>
      </c>
      <c r="D917" t="s">
        <v>15</v>
      </c>
      <c r="E917" s="1">
        <v>45131</v>
      </c>
      <c r="F917" s="1">
        <v>45137</v>
      </c>
      <c r="G917">
        <v>14</v>
      </c>
      <c r="H917">
        <v>295.74</v>
      </c>
      <c r="I917" t="s">
        <v>16</v>
      </c>
      <c r="J917">
        <v>2256</v>
      </c>
      <c r="K917">
        <v>6</v>
      </c>
    </row>
    <row r="918" spans="1:11">
      <c r="A918" t="s">
        <v>965</v>
      </c>
      <c r="B918" t="s">
        <v>52</v>
      </c>
      <c r="C918" t="s">
        <v>58</v>
      </c>
      <c r="D918" t="s">
        <v>33</v>
      </c>
      <c r="E918" s="1">
        <v>45227</v>
      </c>
      <c r="F918" s="1">
        <v>45228</v>
      </c>
      <c r="G918">
        <v>8.1</v>
      </c>
      <c r="H918">
        <v>81.180000000000007</v>
      </c>
      <c r="I918" t="s">
        <v>16</v>
      </c>
      <c r="J918">
        <v>481</v>
      </c>
      <c r="K918">
        <v>1</v>
      </c>
    </row>
    <row r="919" spans="1:11">
      <c r="A919" t="s">
        <v>966</v>
      </c>
      <c r="B919" t="s">
        <v>24</v>
      </c>
      <c r="C919" t="s">
        <v>37</v>
      </c>
      <c r="D919" t="s">
        <v>38</v>
      </c>
      <c r="E919" s="1">
        <v>45066</v>
      </c>
      <c r="F919" s="1">
        <v>45070</v>
      </c>
      <c r="G919">
        <v>20</v>
      </c>
      <c r="H919">
        <v>254.01</v>
      </c>
      <c r="I919" t="s">
        <v>16</v>
      </c>
      <c r="J919">
        <v>1767</v>
      </c>
      <c r="K919">
        <v>4</v>
      </c>
    </row>
    <row r="920" spans="1:11">
      <c r="A920" t="s">
        <v>967</v>
      </c>
      <c r="B920" t="s">
        <v>13</v>
      </c>
      <c r="C920" t="s">
        <v>53</v>
      </c>
      <c r="D920" t="s">
        <v>33</v>
      </c>
      <c r="E920" s="1">
        <v>45077</v>
      </c>
      <c r="F920" s="1">
        <v>45084</v>
      </c>
      <c r="G920">
        <v>35.9</v>
      </c>
      <c r="H920">
        <v>140.38</v>
      </c>
      <c r="I920" t="s">
        <v>16</v>
      </c>
      <c r="J920">
        <v>788</v>
      </c>
      <c r="K920">
        <v>7</v>
      </c>
    </row>
    <row r="921" spans="1:11">
      <c r="A921" t="s">
        <v>968</v>
      </c>
      <c r="B921" t="s">
        <v>40</v>
      </c>
      <c r="C921" t="s">
        <v>58</v>
      </c>
      <c r="D921" t="s">
        <v>19</v>
      </c>
      <c r="E921" s="1">
        <v>45147</v>
      </c>
      <c r="F921" s="1">
        <v>45150</v>
      </c>
      <c r="G921">
        <v>22.5</v>
      </c>
      <c r="H921">
        <v>171.17</v>
      </c>
      <c r="I921" t="s">
        <v>16</v>
      </c>
      <c r="J921">
        <v>1017</v>
      </c>
      <c r="K921">
        <v>3</v>
      </c>
    </row>
    <row r="922" spans="1:11">
      <c r="A922" t="s">
        <v>969</v>
      </c>
      <c r="B922" t="s">
        <v>57</v>
      </c>
      <c r="C922" t="s">
        <v>25</v>
      </c>
      <c r="D922" t="s">
        <v>15</v>
      </c>
      <c r="E922" s="1">
        <v>44934</v>
      </c>
      <c r="F922" s="1">
        <v>44938</v>
      </c>
      <c r="G922">
        <v>17.600000000000001</v>
      </c>
      <c r="H922">
        <v>242.22</v>
      </c>
      <c r="I922" t="s">
        <v>16</v>
      </c>
      <c r="J922">
        <v>1577</v>
      </c>
      <c r="K922">
        <v>4</v>
      </c>
    </row>
    <row r="923" spans="1:11">
      <c r="A923" t="s">
        <v>970</v>
      </c>
      <c r="B923" t="s">
        <v>31</v>
      </c>
      <c r="C923" t="s">
        <v>41</v>
      </c>
      <c r="D923" t="s">
        <v>19</v>
      </c>
      <c r="E923" s="1">
        <v>45003</v>
      </c>
      <c r="F923" s="1">
        <v>45005</v>
      </c>
      <c r="G923">
        <v>12.9</v>
      </c>
      <c r="H923">
        <v>74.16</v>
      </c>
      <c r="I923" t="s">
        <v>63</v>
      </c>
      <c r="J923">
        <v>419</v>
      </c>
      <c r="K923">
        <v>2</v>
      </c>
    </row>
    <row r="924" spans="1:11">
      <c r="A924" t="s">
        <v>971</v>
      </c>
      <c r="B924" t="s">
        <v>40</v>
      </c>
      <c r="C924" t="s">
        <v>41</v>
      </c>
      <c r="D924" t="s">
        <v>15</v>
      </c>
      <c r="E924" s="1">
        <v>45155</v>
      </c>
      <c r="F924" s="1">
        <v>45161</v>
      </c>
      <c r="G924">
        <v>12.8</v>
      </c>
      <c r="H924">
        <v>6229.12</v>
      </c>
      <c r="I924" t="s">
        <v>16</v>
      </c>
      <c r="J924">
        <v>2490</v>
      </c>
      <c r="K924">
        <v>6</v>
      </c>
    </row>
    <row r="925" spans="1:11">
      <c r="A925" t="s">
        <v>972</v>
      </c>
      <c r="B925" t="s">
        <v>13</v>
      </c>
      <c r="C925" t="s">
        <v>53</v>
      </c>
      <c r="D925" t="s">
        <v>26</v>
      </c>
      <c r="E925" s="1">
        <v>44951</v>
      </c>
      <c r="F925" s="1">
        <v>44952</v>
      </c>
      <c r="G925">
        <v>71.099999999999994</v>
      </c>
      <c r="H925">
        <v>114.32</v>
      </c>
      <c r="I925" t="s">
        <v>16</v>
      </c>
      <c r="J925">
        <v>167</v>
      </c>
      <c r="K925">
        <v>1</v>
      </c>
    </row>
    <row r="926" spans="1:11">
      <c r="A926" t="s">
        <v>973</v>
      </c>
      <c r="B926" t="s">
        <v>24</v>
      </c>
      <c r="C926" t="s">
        <v>22</v>
      </c>
      <c r="D926" t="s">
        <v>33</v>
      </c>
      <c r="E926" s="1">
        <v>45161</v>
      </c>
      <c r="F926" s="1">
        <v>45167</v>
      </c>
      <c r="G926">
        <v>13.6</v>
      </c>
      <c r="H926">
        <v>326.70999999999998</v>
      </c>
      <c r="I926" t="s">
        <v>16</v>
      </c>
      <c r="J926">
        <v>2328</v>
      </c>
      <c r="K926">
        <v>6</v>
      </c>
    </row>
    <row r="927" spans="1:11">
      <c r="A927" t="s">
        <v>974</v>
      </c>
      <c r="B927" t="s">
        <v>31</v>
      </c>
      <c r="C927" t="s">
        <v>32</v>
      </c>
      <c r="D927" t="s">
        <v>26</v>
      </c>
      <c r="E927" s="1">
        <v>45045</v>
      </c>
      <c r="F927" s="1">
        <v>45048</v>
      </c>
      <c r="G927">
        <v>24.2</v>
      </c>
      <c r="H927">
        <v>107.33</v>
      </c>
      <c r="I927" t="s">
        <v>16</v>
      </c>
      <c r="J927">
        <v>669</v>
      </c>
      <c r="K927">
        <v>3</v>
      </c>
    </row>
    <row r="928" spans="1:11">
      <c r="A928" t="s">
        <v>975</v>
      </c>
      <c r="B928" t="s">
        <v>28</v>
      </c>
      <c r="C928" t="s">
        <v>82</v>
      </c>
      <c r="D928" t="s">
        <v>26</v>
      </c>
      <c r="E928" s="1">
        <v>45291</v>
      </c>
      <c r="F928" s="1">
        <v>45293</v>
      </c>
      <c r="G928">
        <v>39.700000000000003</v>
      </c>
      <c r="H928">
        <v>130.72999999999999</v>
      </c>
      <c r="I928" t="s">
        <v>16</v>
      </c>
      <c r="J928">
        <v>468</v>
      </c>
      <c r="K928">
        <v>2</v>
      </c>
    </row>
    <row r="929" spans="1:11">
      <c r="A929" t="s">
        <v>976</v>
      </c>
      <c r="B929" t="s">
        <v>57</v>
      </c>
      <c r="C929" t="s">
        <v>14</v>
      </c>
      <c r="D929" t="s">
        <v>38</v>
      </c>
      <c r="E929" s="1">
        <v>44991</v>
      </c>
      <c r="F929" s="1">
        <v>44994</v>
      </c>
      <c r="G929">
        <v>9.4</v>
      </c>
      <c r="H929">
        <v>84.83</v>
      </c>
      <c r="I929" t="s">
        <v>16</v>
      </c>
      <c r="J929">
        <v>563</v>
      </c>
      <c r="K929">
        <v>3</v>
      </c>
    </row>
    <row r="930" spans="1:11">
      <c r="A930" t="s">
        <v>977</v>
      </c>
      <c r="B930" t="s">
        <v>13</v>
      </c>
      <c r="C930" t="s">
        <v>53</v>
      </c>
      <c r="D930" t="s">
        <v>38</v>
      </c>
      <c r="E930" s="1">
        <v>45223</v>
      </c>
      <c r="F930" s="1">
        <v>45227</v>
      </c>
      <c r="G930">
        <v>13.6</v>
      </c>
      <c r="H930">
        <v>187.79</v>
      </c>
      <c r="I930" t="s">
        <v>16</v>
      </c>
      <c r="J930">
        <v>1584</v>
      </c>
      <c r="K930">
        <v>4</v>
      </c>
    </row>
    <row r="931" spans="1:11">
      <c r="A931" t="s">
        <v>978</v>
      </c>
      <c r="B931" t="s">
        <v>50</v>
      </c>
      <c r="C931" t="s">
        <v>58</v>
      </c>
      <c r="D931" t="s">
        <v>60</v>
      </c>
      <c r="E931" s="1">
        <v>45067</v>
      </c>
      <c r="F931" s="1">
        <v>45072</v>
      </c>
      <c r="G931">
        <v>32.5</v>
      </c>
      <c r="H931">
        <v>252.22</v>
      </c>
      <c r="I931" t="s">
        <v>16</v>
      </c>
      <c r="J931">
        <v>2107</v>
      </c>
      <c r="K931">
        <v>5</v>
      </c>
    </row>
    <row r="932" spans="1:11">
      <c r="A932" t="s">
        <v>979</v>
      </c>
      <c r="B932" t="s">
        <v>13</v>
      </c>
      <c r="C932" t="s">
        <v>71</v>
      </c>
      <c r="D932" t="s">
        <v>15</v>
      </c>
      <c r="E932" s="1">
        <v>45261</v>
      </c>
      <c r="F932" s="1">
        <v>45265</v>
      </c>
      <c r="G932">
        <v>23.3</v>
      </c>
      <c r="H932">
        <v>266.08</v>
      </c>
      <c r="I932" t="s">
        <v>16</v>
      </c>
      <c r="J932">
        <v>1473</v>
      </c>
      <c r="K932">
        <v>4</v>
      </c>
    </row>
    <row r="933" spans="1:11">
      <c r="A933" t="s">
        <v>980</v>
      </c>
      <c r="B933" t="s">
        <v>52</v>
      </c>
      <c r="C933" t="s">
        <v>82</v>
      </c>
      <c r="D933" t="s">
        <v>19</v>
      </c>
      <c r="E933" s="1">
        <v>45100</v>
      </c>
      <c r="F933" s="1">
        <v>45103</v>
      </c>
      <c r="G933">
        <v>88.7</v>
      </c>
      <c r="H933">
        <v>196.15</v>
      </c>
      <c r="I933" t="s">
        <v>16</v>
      </c>
      <c r="J933">
        <v>509</v>
      </c>
      <c r="K933">
        <v>3</v>
      </c>
    </row>
    <row r="934" spans="1:11">
      <c r="A934" t="s">
        <v>981</v>
      </c>
      <c r="B934" t="s">
        <v>31</v>
      </c>
      <c r="C934" t="s">
        <v>58</v>
      </c>
      <c r="D934" t="s">
        <v>26</v>
      </c>
      <c r="E934" s="1">
        <v>45020</v>
      </c>
      <c r="F934" s="1">
        <v>45022</v>
      </c>
      <c r="G934">
        <v>36.299999999999997</v>
      </c>
      <c r="H934">
        <v>74.959999999999994</v>
      </c>
      <c r="I934" t="s">
        <v>16</v>
      </c>
      <c r="J934">
        <v>253</v>
      </c>
      <c r="K934">
        <v>2</v>
      </c>
    </row>
    <row r="935" spans="1:11">
      <c r="A935" t="s">
        <v>982</v>
      </c>
      <c r="B935" t="s">
        <v>28</v>
      </c>
      <c r="C935" t="s">
        <v>47</v>
      </c>
      <c r="D935" t="s">
        <v>26</v>
      </c>
      <c r="E935" s="1">
        <v>45171</v>
      </c>
      <c r="F935" s="1">
        <v>45174</v>
      </c>
      <c r="G935">
        <v>36.5</v>
      </c>
      <c r="H935">
        <v>128</v>
      </c>
      <c r="I935" t="s">
        <v>16</v>
      </c>
      <c r="J935">
        <v>757</v>
      </c>
      <c r="K935">
        <v>3</v>
      </c>
    </row>
    <row r="936" spans="1:11">
      <c r="A936" t="s">
        <v>983</v>
      </c>
      <c r="B936" t="s">
        <v>50</v>
      </c>
      <c r="C936" t="s">
        <v>14</v>
      </c>
      <c r="D936" t="s">
        <v>60</v>
      </c>
      <c r="E936" s="1">
        <v>45043</v>
      </c>
      <c r="F936" s="1">
        <v>45047</v>
      </c>
      <c r="G936">
        <v>26.9</v>
      </c>
      <c r="H936">
        <v>221.1</v>
      </c>
      <c r="I936" t="s">
        <v>16</v>
      </c>
      <c r="J936">
        <v>1796</v>
      </c>
      <c r="K936">
        <v>4</v>
      </c>
    </row>
    <row r="937" spans="1:11">
      <c r="A937" t="s">
        <v>984</v>
      </c>
      <c r="B937" t="s">
        <v>50</v>
      </c>
      <c r="C937" t="s">
        <v>25</v>
      </c>
      <c r="D937" t="s">
        <v>33</v>
      </c>
      <c r="E937" s="1">
        <v>45104</v>
      </c>
      <c r="F937" s="1">
        <v>45109</v>
      </c>
      <c r="G937">
        <v>4.4000000000000004</v>
      </c>
      <c r="H937">
        <v>301.81</v>
      </c>
      <c r="I937" t="s">
        <v>16</v>
      </c>
      <c r="J937">
        <v>2087</v>
      </c>
      <c r="K937">
        <v>5</v>
      </c>
    </row>
    <row r="938" spans="1:11">
      <c r="A938" t="s">
        <v>985</v>
      </c>
      <c r="B938" t="s">
        <v>24</v>
      </c>
      <c r="C938" t="s">
        <v>45</v>
      </c>
      <c r="D938" t="s">
        <v>43</v>
      </c>
      <c r="E938" s="1">
        <v>45016</v>
      </c>
      <c r="F938" s="1">
        <v>45019</v>
      </c>
      <c r="G938">
        <v>16.5</v>
      </c>
      <c r="H938">
        <v>152.12</v>
      </c>
      <c r="I938" t="s">
        <v>16</v>
      </c>
      <c r="J938">
        <v>1027</v>
      </c>
      <c r="K938">
        <v>3</v>
      </c>
    </row>
    <row r="939" spans="1:11">
      <c r="A939" t="s">
        <v>986</v>
      </c>
      <c r="B939" t="s">
        <v>31</v>
      </c>
      <c r="C939" t="s">
        <v>82</v>
      </c>
      <c r="D939" t="s">
        <v>33</v>
      </c>
      <c r="E939" s="1">
        <v>44959</v>
      </c>
      <c r="F939" s="1">
        <v>44966</v>
      </c>
      <c r="G939">
        <v>11.8</v>
      </c>
      <c r="H939">
        <v>306.43</v>
      </c>
      <c r="I939" t="s">
        <v>16</v>
      </c>
      <c r="J939">
        <v>2442</v>
      </c>
      <c r="K939">
        <v>7</v>
      </c>
    </row>
    <row r="940" spans="1:11">
      <c r="A940" t="s">
        <v>987</v>
      </c>
      <c r="B940" t="s">
        <v>28</v>
      </c>
      <c r="C940" t="s">
        <v>14</v>
      </c>
      <c r="D940" t="s">
        <v>33</v>
      </c>
      <c r="E940" s="1">
        <v>45266</v>
      </c>
      <c r="F940" s="1">
        <v>45270</v>
      </c>
      <c r="G940">
        <v>22.4</v>
      </c>
      <c r="H940">
        <v>162.76</v>
      </c>
      <c r="I940" t="s">
        <v>16</v>
      </c>
      <c r="J940">
        <v>862</v>
      </c>
      <c r="K940">
        <v>4</v>
      </c>
    </row>
    <row r="941" spans="1:11">
      <c r="A941" t="s">
        <v>988</v>
      </c>
      <c r="B941" t="s">
        <v>40</v>
      </c>
      <c r="C941" t="s">
        <v>29</v>
      </c>
      <c r="D941" t="s">
        <v>33</v>
      </c>
      <c r="E941" s="1">
        <v>45124</v>
      </c>
      <c r="F941" s="1">
        <v>45137</v>
      </c>
      <c r="G941">
        <v>9.3000000000000007</v>
      </c>
      <c r="H941">
        <v>108.95</v>
      </c>
      <c r="I941" t="s">
        <v>48</v>
      </c>
      <c r="J941">
        <v>813</v>
      </c>
      <c r="K941">
        <v>3</v>
      </c>
    </row>
    <row r="942" spans="1:11">
      <c r="A942" t="s">
        <v>989</v>
      </c>
      <c r="B942" t="s">
        <v>57</v>
      </c>
      <c r="C942" t="s">
        <v>58</v>
      </c>
      <c r="D942" t="s">
        <v>33</v>
      </c>
      <c r="E942" s="1">
        <v>44955</v>
      </c>
      <c r="F942" s="1">
        <v>44964</v>
      </c>
      <c r="G942">
        <v>40.9</v>
      </c>
      <c r="H942">
        <v>307.95999999999998</v>
      </c>
      <c r="I942" t="s">
        <v>16</v>
      </c>
      <c r="J942">
        <v>1805</v>
      </c>
      <c r="K942">
        <v>9</v>
      </c>
    </row>
    <row r="943" spans="1:11">
      <c r="A943" t="s">
        <v>990</v>
      </c>
      <c r="B943" t="s">
        <v>52</v>
      </c>
      <c r="C943" t="s">
        <v>58</v>
      </c>
      <c r="D943" t="s">
        <v>33</v>
      </c>
      <c r="E943" s="1">
        <v>45288</v>
      </c>
      <c r="F943" s="1">
        <v>45298</v>
      </c>
      <c r="G943">
        <v>11.8</v>
      </c>
      <c r="H943">
        <v>345.46</v>
      </c>
      <c r="I943" t="s">
        <v>48</v>
      </c>
      <c r="J943">
        <v>1958</v>
      </c>
      <c r="K943">
        <v>5</v>
      </c>
    </row>
    <row r="944" spans="1:11">
      <c r="A944" t="s">
        <v>991</v>
      </c>
      <c r="B944" t="s">
        <v>28</v>
      </c>
      <c r="C944" t="s">
        <v>32</v>
      </c>
      <c r="D944" t="s">
        <v>38</v>
      </c>
      <c r="E944" s="1">
        <v>45044</v>
      </c>
      <c r="F944" s="1">
        <v>45050</v>
      </c>
      <c r="G944">
        <v>10.1</v>
      </c>
      <c r="H944">
        <v>221.55</v>
      </c>
      <c r="I944" t="s">
        <v>16</v>
      </c>
      <c r="J944">
        <v>1943</v>
      </c>
      <c r="K944">
        <v>6</v>
      </c>
    </row>
    <row r="945" spans="1:11">
      <c r="A945" t="s">
        <v>992</v>
      </c>
      <c r="B945" t="s">
        <v>36</v>
      </c>
      <c r="C945" t="s">
        <v>45</v>
      </c>
      <c r="D945" t="s">
        <v>38</v>
      </c>
      <c r="E945" s="1">
        <v>45231</v>
      </c>
      <c r="F945" s="1">
        <v>45238</v>
      </c>
      <c r="G945">
        <v>8.9</v>
      </c>
      <c r="H945">
        <v>390.8</v>
      </c>
      <c r="I945" t="s">
        <v>16</v>
      </c>
      <c r="J945">
        <v>2441</v>
      </c>
      <c r="K945">
        <v>7</v>
      </c>
    </row>
    <row r="946" spans="1:11">
      <c r="A946" t="s">
        <v>993</v>
      </c>
      <c r="B946" t="s">
        <v>52</v>
      </c>
      <c r="C946" t="s">
        <v>53</v>
      </c>
      <c r="D946" t="s">
        <v>60</v>
      </c>
      <c r="E946" s="1">
        <v>45064</v>
      </c>
      <c r="F946" s="1">
        <v>45034</v>
      </c>
      <c r="G946">
        <v>55.4</v>
      </c>
      <c r="H946">
        <v>237.06</v>
      </c>
      <c r="I946" t="s">
        <v>63</v>
      </c>
      <c r="J946">
        <v>1644</v>
      </c>
      <c r="K946">
        <v>5</v>
      </c>
    </row>
    <row r="947" spans="1:11">
      <c r="A947" t="s">
        <v>994</v>
      </c>
      <c r="B947" t="s">
        <v>40</v>
      </c>
      <c r="C947" t="s">
        <v>37</v>
      </c>
      <c r="D947" t="s">
        <v>43</v>
      </c>
      <c r="E947" s="1">
        <v>45206</v>
      </c>
      <c r="F947" s="1">
        <v>45209</v>
      </c>
      <c r="G947">
        <v>7.1</v>
      </c>
      <c r="H947">
        <v>164.49</v>
      </c>
      <c r="I947" t="s">
        <v>16</v>
      </c>
      <c r="J947">
        <v>1336</v>
      </c>
      <c r="K947">
        <v>3</v>
      </c>
    </row>
    <row r="948" spans="1:11">
      <c r="A948" t="s">
        <v>995</v>
      </c>
      <c r="B948" t="s">
        <v>21</v>
      </c>
      <c r="C948" t="s">
        <v>37</v>
      </c>
      <c r="D948" t="s">
        <v>15</v>
      </c>
      <c r="E948" s="1">
        <v>44949</v>
      </c>
      <c r="F948" s="1">
        <v>44953</v>
      </c>
      <c r="G948">
        <v>45.4</v>
      </c>
      <c r="H948">
        <v>172.09</v>
      </c>
      <c r="I948" t="s">
        <v>16</v>
      </c>
      <c r="J948">
        <v>1050</v>
      </c>
      <c r="K948">
        <v>4</v>
      </c>
    </row>
    <row r="949" spans="1:11">
      <c r="A949" t="s">
        <v>996</v>
      </c>
      <c r="B949" t="s">
        <v>31</v>
      </c>
      <c r="C949" t="s">
        <v>18</v>
      </c>
      <c r="D949" t="s">
        <v>15</v>
      </c>
      <c r="E949" s="1">
        <v>45216</v>
      </c>
      <c r="F949" s="1">
        <v>45222</v>
      </c>
      <c r="G949">
        <v>53.8</v>
      </c>
      <c r="H949">
        <v>334.19</v>
      </c>
      <c r="I949" t="s">
        <v>16</v>
      </c>
      <c r="J949">
        <v>2107</v>
      </c>
      <c r="K949">
        <v>6</v>
      </c>
    </row>
    <row r="950" spans="1:11">
      <c r="A950" t="s">
        <v>997</v>
      </c>
      <c r="B950" t="s">
        <v>13</v>
      </c>
      <c r="C950" t="s">
        <v>29</v>
      </c>
      <c r="D950" t="s">
        <v>15</v>
      </c>
      <c r="E950" s="1">
        <v>45033</v>
      </c>
      <c r="F950" s="1">
        <v>45035</v>
      </c>
      <c r="G950">
        <v>20</v>
      </c>
      <c r="H950">
        <v>96.84</v>
      </c>
      <c r="I950" t="s">
        <v>16</v>
      </c>
      <c r="J950">
        <v>517</v>
      </c>
      <c r="K950">
        <v>2</v>
      </c>
    </row>
    <row r="951" spans="1:11">
      <c r="A951" t="s">
        <v>998</v>
      </c>
      <c r="B951" t="s">
        <v>31</v>
      </c>
      <c r="C951" t="s">
        <v>29</v>
      </c>
      <c r="D951" t="s">
        <v>15</v>
      </c>
      <c r="E951" s="1">
        <v>45247</v>
      </c>
      <c r="F951" s="1">
        <v>45263</v>
      </c>
      <c r="G951">
        <v>47.6</v>
      </c>
      <c r="H951">
        <v>267.76</v>
      </c>
      <c r="I951" t="s">
        <v>48</v>
      </c>
      <c r="J951">
        <v>1263</v>
      </c>
      <c r="K951">
        <v>4</v>
      </c>
    </row>
    <row r="952" spans="1:11">
      <c r="A952" t="s">
        <v>999</v>
      </c>
      <c r="B952" t="s">
        <v>28</v>
      </c>
      <c r="C952" t="s">
        <v>29</v>
      </c>
      <c r="D952" t="s">
        <v>43</v>
      </c>
      <c r="E952" s="1">
        <v>44989</v>
      </c>
      <c r="F952" s="1">
        <v>44992</v>
      </c>
      <c r="G952">
        <v>14.9</v>
      </c>
      <c r="H952">
        <v>148</v>
      </c>
      <c r="I952" t="s">
        <v>16</v>
      </c>
      <c r="J952">
        <v>1154</v>
      </c>
      <c r="K952">
        <v>3</v>
      </c>
    </row>
    <row r="953" spans="1:11">
      <c r="A953" t="s">
        <v>1000</v>
      </c>
      <c r="B953" t="s">
        <v>31</v>
      </c>
      <c r="C953" t="s">
        <v>14</v>
      </c>
      <c r="D953" t="s">
        <v>26</v>
      </c>
      <c r="E953" s="1">
        <v>45127</v>
      </c>
      <c r="F953" s="1">
        <v>45131</v>
      </c>
      <c r="G953">
        <v>62.4</v>
      </c>
      <c r="H953">
        <v>118.11</v>
      </c>
      <c r="I953" t="s">
        <v>16</v>
      </c>
      <c r="J953">
        <v>407</v>
      </c>
      <c r="K953">
        <v>4</v>
      </c>
    </row>
    <row r="954" spans="1:11">
      <c r="A954" t="s">
        <v>1001</v>
      </c>
      <c r="B954" t="s">
        <v>52</v>
      </c>
      <c r="C954" t="s">
        <v>71</v>
      </c>
      <c r="D954" t="s">
        <v>33</v>
      </c>
      <c r="E954" s="1">
        <v>45159</v>
      </c>
      <c r="F954" s="1">
        <v>45165</v>
      </c>
      <c r="G954">
        <v>28.3</v>
      </c>
      <c r="H954">
        <v>318.33999999999997</v>
      </c>
      <c r="I954" t="s">
        <v>16</v>
      </c>
      <c r="J954">
        <v>2076</v>
      </c>
      <c r="K954">
        <v>6</v>
      </c>
    </row>
    <row r="955" spans="1:11">
      <c r="A955" t="s">
        <v>1002</v>
      </c>
      <c r="B955" t="s">
        <v>52</v>
      </c>
      <c r="C955" t="s">
        <v>82</v>
      </c>
      <c r="D955" t="s">
        <v>60</v>
      </c>
      <c r="E955" s="1">
        <v>45196</v>
      </c>
      <c r="F955" s="1">
        <v>45202</v>
      </c>
      <c r="G955">
        <v>26.6</v>
      </c>
      <c r="H955">
        <v>295.92</v>
      </c>
      <c r="I955" t="s">
        <v>16</v>
      </c>
      <c r="J955">
        <v>2346</v>
      </c>
      <c r="K955">
        <v>6</v>
      </c>
    </row>
    <row r="956" spans="1:11">
      <c r="A956" t="s">
        <v>1003</v>
      </c>
      <c r="B956" t="s">
        <v>24</v>
      </c>
      <c r="C956" t="s">
        <v>37</v>
      </c>
      <c r="D956" t="s">
        <v>38</v>
      </c>
      <c r="E956" s="1">
        <v>44964</v>
      </c>
      <c r="F956" s="1">
        <v>44966</v>
      </c>
      <c r="G956">
        <v>29.9</v>
      </c>
      <c r="H956">
        <v>108.93</v>
      </c>
      <c r="I956" t="s">
        <v>16</v>
      </c>
      <c r="J956">
        <v>576</v>
      </c>
      <c r="K956">
        <v>2</v>
      </c>
    </row>
    <row r="957" spans="1:11">
      <c r="A957" t="s">
        <v>1004</v>
      </c>
      <c r="B957" t="s">
        <v>13</v>
      </c>
      <c r="C957" t="s">
        <v>18</v>
      </c>
      <c r="D957" t="s">
        <v>19</v>
      </c>
      <c r="E957" s="1">
        <v>44954</v>
      </c>
      <c r="F957" s="1">
        <v>44959</v>
      </c>
      <c r="G957">
        <v>5.0999999999999996</v>
      </c>
      <c r="H957">
        <v>236.05</v>
      </c>
      <c r="I957" t="s">
        <v>16</v>
      </c>
      <c r="J957">
        <v>1773</v>
      </c>
      <c r="K957">
        <v>5</v>
      </c>
    </row>
    <row r="958" spans="1:11">
      <c r="A958" t="s">
        <v>1005</v>
      </c>
      <c r="B958" t="s">
        <v>57</v>
      </c>
      <c r="C958" t="s">
        <v>18</v>
      </c>
      <c r="D958" t="s">
        <v>43</v>
      </c>
      <c r="E958" s="1">
        <v>45098</v>
      </c>
      <c r="F958" s="1">
        <v>45101</v>
      </c>
      <c r="G958">
        <v>24.3</v>
      </c>
      <c r="H958">
        <v>160.77000000000001</v>
      </c>
      <c r="I958" t="s">
        <v>63</v>
      </c>
      <c r="J958">
        <v>1144</v>
      </c>
      <c r="K958">
        <v>3</v>
      </c>
    </row>
    <row r="959" spans="1:11">
      <c r="A959" t="s">
        <v>1006</v>
      </c>
      <c r="B959" t="s">
        <v>50</v>
      </c>
      <c r="C959" t="s">
        <v>47</v>
      </c>
      <c r="D959" t="s">
        <v>33</v>
      </c>
      <c r="E959" s="1">
        <v>45175</v>
      </c>
      <c r="F959" s="1">
        <v>45180</v>
      </c>
      <c r="G959">
        <v>75</v>
      </c>
      <c r="H959">
        <v>402.46</v>
      </c>
      <c r="I959" t="s">
        <v>16</v>
      </c>
      <c r="J959">
        <v>2200</v>
      </c>
      <c r="K959">
        <v>5</v>
      </c>
    </row>
    <row r="960" spans="1:11">
      <c r="A960" t="s">
        <v>1007</v>
      </c>
      <c r="B960" t="s">
        <v>50</v>
      </c>
      <c r="C960" t="s">
        <v>82</v>
      </c>
      <c r="D960" t="s">
        <v>26</v>
      </c>
      <c r="E960" s="1">
        <v>45123</v>
      </c>
      <c r="F960" s="1">
        <v>45128</v>
      </c>
      <c r="G960">
        <v>29.6</v>
      </c>
      <c r="H960">
        <v>276.98</v>
      </c>
      <c r="I960" t="s">
        <v>16</v>
      </c>
      <c r="J960">
        <v>2049</v>
      </c>
      <c r="K960">
        <v>5</v>
      </c>
    </row>
    <row r="961" spans="1:11">
      <c r="A961" t="s">
        <v>1008</v>
      </c>
      <c r="B961" t="s">
        <v>40</v>
      </c>
      <c r="C961" t="s">
        <v>82</v>
      </c>
      <c r="D961" t="s">
        <v>26</v>
      </c>
      <c r="E961" s="1">
        <v>45264</v>
      </c>
      <c r="F961" s="1">
        <v>45271</v>
      </c>
      <c r="G961">
        <v>3.2</v>
      </c>
      <c r="H961">
        <v>140.80000000000001</v>
      </c>
      <c r="I961" t="s">
        <v>16</v>
      </c>
      <c r="J961">
        <v>1030</v>
      </c>
      <c r="K961">
        <v>7</v>
      </c>
    </row>
    <row r="962" spans="1:11">
      <c r="A962" t="s">
        <v>1009</v>
      </c>
      <c r="B962" t="s">
        <v>52</v>
      </c>
      <c r="C962" t="s">
        <v>29</v>
      </c>
      <c r="D962" t="s">
        <v>19</v>
      </c>
      <c r="E962" s="1">
        <v>45021</v>
      </c>
      <c r="F962" s="1">
        <v>45031</v>
      </c>
      <c r="G962">
        <v>18.899999999999999</v>
      </c>
      <c r="H962">
        <v>196.91</v>
      </c>
      <c r="I962" t="s">
        <v>16</v>
      </c>
      <c r="J962">
        <v>1319</v>
      </c>
      <c r="K962">
        <v>10</v>
      </c>
    </row>
    <row r="963" spans="1:11">
      <c r="A963" t="s">
        <v>1010</v>
      </c>
      <c r="B963" t="s">
        <v>31</v>
      </c>
      <c r="C963" t="s">
        <v>55</v>
      </c>
      <c r="D963" t="s">
        <v>15</v>
      </c>
      <c r="E963" s="1">
        <v>45219</v>
      </c>
      <c r="F963" s="1">
        <v>45221</v>
      </c>
      <c r="G963">
        <v>16.100000000000001</v>
      </c>
      <c r="H963">
        <v>102.41</v>
      </c>
      <c r="I963" t="s">
        <v>16</v>
      </c>
      <c r="J963">
        <v>625</v>
      </c>
      <c r="K963">
        <v>2</v>
      </c>
    </row>
    <row r="964" spans="1:11">
      <c r="A964" t="s">
        <v>1011</v>
      </c>
      <c r="B964" t="s">
        <v>36</v>
      </c>
      <c r="C964" t="s">
        <v>41</v>
      </c>
      <c r="D964" t="s">
        <v>26</v>
      </c>
      <c r="E964" s="1">
        <v>44976</v>
      </c>
      <c r="F964" s="1">
        <v>44979</v>
      </c>
      <c r="G964">
        <v>36.700000000000003</v>
      </c>
      <c r="H964">
        <v>80.239999999999995</v>
      </c>
      <c r="I964" t="s">
        <v>16</v>
      </c>
      <c r="J964">
        <v>283</v>
      </c>
      <c r="K964">
        <v>3</v>
      </c>
    </row>
    <row r="965" spans="1:11">
      <c r="A965" t="s">
        <v>1012</v>
      </c>
      <c r="B965" t="s">
        <v>57</v>
      </c>
      <c r="C965" t="s">
        <v>47</v>
      </c>
      <c r="D965" t="s">
        <v>43</v>
      </c>
      <c r="E965" s="1">
        <v>45163</v>
      </c>
      <c r="F965" s="1">
        <v>45168</v>
      </c>
      <c r="G965">
        <v>49.6</v>
      </c>
      <c r="H965">
        <v>169.64</v>
      </c>
      <c r="I965" t="s">
        <v>16</v>
      </c>
      <c r="J965">
        <v>820</v>
      </c>
      <c r="K965">
        <v>5</v>
      </c>
    </row>
    <row r="966" spans="1:11">
      <c r="A966" t="s">
        <v>1013</v>
      </c>
      <c r="B966" t="s">
        <v>36</v>
      </c>
      <c r="C966" t="s">
        <v>45</v>
      </c>
      <c r="D966" t="s">
        <v>60</v>
      </c>
      <c r="E966" s="1">
        <v>45073</v>
      </c>
      <c r="F966" s="1">
        <v>45075</v>
      </c>
      <c r="G966">
        <v>7.2</v>
      </c>
      <c r="I966" t="s">
        <v>16</v>
      </c>
      <c r="J966">
        <v>858</v>
      </c>
      <c r="K966">
        <v>2</v>
      </c>
    </row>
    <row r="967" spans="1:11">
      <c r="A967" t="s">
        <v>1014</v>
      </c>
      <c r="B967" t="s">
        <v>31</v>
      </c>
      <c r="C967" t="s">
        <v>14</v>
      </c>
      <c r="D967" t="s">
        <v>19</v>
      </c>
      <c r="E967" s="1">
        <v>45090</v>
      </c>
      <c r="F967" s="1">
        <v>45097</v>
      </c>
      <c r="G967">
        <v>24.2</v>
      </c>
      <c r="H967">
        <v>318.02999999999997</v>
      </c>
      <c r="I967" t="s">
        <v>63</v>
      </c>
      <c r="J967">
        <v>2036</v>
      </c>
      <c r="K967">
        <v>7</v>
      </c>
    </row>
    <row r="968" spans="1:11">
      <c r="A968" t="s">
        <v>1015</v>
      </c>
      <c r="B968" t="s">
        <v>36</v>
      </c>
      <c r="C968" t="s">
        <v>18</v>
      </c>
      <c r="D968" t="s">
        <v>15</v>
      </c>
      <c r="E968" s="1">
        <v>44996</v>
      </c>
      <c r="F968" s="1">
        <v>45000</v>
      </c>
      <c r="G968">
        <v>18.600000000000001</v>
      </c>
      <c r="H968">
        <v>264.57</v>
      </c>
      <c r="I968" t="s">
        <v>16</v>
      </c>
      <c r="J968">
        <v>1771</v>
      </c>
      <c r="K968">
        <v>4</v>
      </c>
    </row>
    <row r="969" spans="1:11">
      <c r="A969" t="s">
        <v>1016</v>
      </c>
      <c r="B969" t="s">
        <v>24</v>
      </c>
      <c r="C969" t="s">
        <v>25</v>
      </c>
      <c r="D969" t="s">
        <v>33</v>
      </c>
      <c r="E969" s="1">
        <v>45065</v>
      </c>
      <c r="F969" s="1">
        <v>45070</v>
      </c>
      <c r="G969">
        <v>26.6</v>
      </c>
      <c r="H969">
        <v>302.89</v>
      </c>
      <c r="I969" t="s">
        <v>16</v>
      </c>
      <c r="J969">
        <v>1841</v>
      </c>
      <c r="K969">
        <v>5</v>
      </c>
    </row>
    <row r="970" spans="1:11">
      <c r="A970" t="s">
        <v>1017</v>
      </c>
      <c r="B970" t="s">
        <v>50</v>
      </c>
      <c r="C970" t="s">
        <v>82</v>
      </c>
      <c r="D970" t="s">
        <v>15</v>
      </c>
      <c r="E970" s="1">
        <v>44939</v>
      </c>
      <c r="F970" s="1">
        <v>44943</v>
      </c>
      <c r="G970">
        <v>27.5</v>
      </c>
      <c r="H970">
        <v>272.07</v>
      </c>
      <c r="I970" t="s">
        <v>16</v>
      </c>
      <c r="J970">
        <v>1875</v>
      </c>
      <c r="K970">
        <v>4</v>
      </c>
    </row>
    <row r="971" spans="1:11">
      <c r="A971" t="s">
        <v>1018</v>
      </c>
      <c r="B971" t="s">
        <v>40</v>
      </c>
      <c r="C971" t="s">
        <v>55</v>
      </c>
      <c r="D971" t="s">
        <v>33</v>
      </c>
      <c r="E971" s="1">
        <v>45107</v>
      </c>
      <c r="F971" s="1">
        <v>45109</v>
      </c>
      <c r="G971">
        <v>30.9</v>
      </c>
      <c r="H971">
        <v>81.650000000000006</v>
      </c>
      <c r="I971" t="s">
        <v>16</v>
      </c>
      <c r="J971">
        <v>297</v>
      </c>
      <c r="K971">
        <v>2</v>
      </c>
    </row>
    <row r="972" spans="1:11">
      <c r="A972" t="s">
        <v>1019</v>
      </c>
      <c r="B972" t="s">
        <v>31</v>
      </c>
      <c r="C972" t="s">
        <v>53</v>
      </c>
      <c r="D972" t="s">
        <v>15</v>
      </c>
      <c r="E972" s="1">
        <v>45174</v>
      </c>
      <c r="F972" s="1">
        <v>45178</v>
      </c>
      <c r="G972">
        <v>11.9</v>
      </c>
      <c r="H972">
        <v>193.89</v>
      </c>
      <c r="I972" t="s">
        <v>16</v>
      </c>
      <c r="J972">
        <v>1290</v>
      </c>
      <c r="K972">
        <v>4</v>
      </c>
    </row>
    <row r="973" spans="1:11">
      <c r="A973" t="s">
        <v>1020</v>
      </c>
      <c r="B973" t="s">
        <v>24</v>
      </c>
      <c r="C973" t="s">
        <v>82</v>
      </c>
      <c r="D973" t="s">
        <v>26</v>
      </c>
      <c r="E973" s="1">
        <v>45151</v>
      </c>
      <c r="F973" s="1">
        <v>45156</v>
      </c>
      <c r="G973">
        <v>16.3</v>
      </c>
      <c r="H973">
        <v>25.2</v>
      </c>
      <c r="I973" t="s">
        <v>16</v>
      </c>
      <c r="J973">
        <v>2033</v>
      </c>
      <c r="K973">
        <v>5</v>
      </c>
    </row>
    <row r="974" spans="1:11">
      <c r="A974" t="s">
        <v>1021</v>
      </c>
      <c r="B974" t="s">
        <v>40</v>
      </c>
      <c r="C974" t="s">
        <v>22</v>
      </c>
      <c r="D974" t="s">
        <v>15</v>
      </c>
      <c r="E974" s="1">
        <v>45276</v>
      </c>
      <c r="F974" s="1">
        <v>45283</v>
      </c>
      <c r="G974">
        <v>24.7</v>
      </c>
      <c r="H974">
        <v>179.53</v>
      </c>
      <c r="I974" t="s">
        <v>16</v>
      </c>
      <c r="J974">
        <v>974</v>
      </c>
      <c r="K974">
        <v>7</v>
      </c>
    </row>
    <row r="975" spans="1:11">
      <c r="A975" t="s">
        <v>1022</v>
      </c>
      <c r="B975" t="s">
        <v>13</v>
      </c>
      <c r="C975" t="s">
        <v>37</v>
      </c>
      <c r="D975" t="s">
        <v>33</v>
      </c>
      <c r="E975" s="1">
        <v>45220</v>
      </c>
      <c r="F975" s="1">
        <v>45224</v>
      </c>
      <c r="G975">
        <v>32.299999999999997</v>
      </c>
      <c r="H975">
        <v>233.32</v>
      </c>
      <c r="I975" t="s">
        <v>16</v>
      </c>
      <c r="J975">
        <v>1492</v>
      </c>
      <c r="K975">
        <v>4</v>
      </c>
    </row>
    <row r="976" spans="1:11">
      <c r="A976" t="s">
        <v>1023</v>
      </c>
      <c r="B976" t="s">
        <v>13</v>
      </c>
      <c r="C976" t="s">
        <v>55</v>
      </c>
      <c r="D976" t="s">
        <v>15</v>
      </c>
      <c r="E976" s="1">
        <v>45252</v>
      </c>
      <c r="F976" s="1">
        <v>45271</v>
      </c>
      <c r="G976">
        <v>32</v>
      </c>
      <c r="H976">
        <v>348</v>
      </c>
      <c r="I976" t="s">
        <v>48</v>
      </c>
      <c r="J976">
        <v>2060</v>
      </c>
      <c r="K976">
        <v>8</v>
      </c>
    </row>
    <row r="977" spans="1:11">
      <c r="A977" t="s">
        <v>1024</v>
      </c>
      <c r="B977" t="s">
        <v>57</v>
      </c>
      <c r="C977" t="s">
        <v>32</v>
      </c>
      <c r="D977" t="s">
        <v>38</v>
      </c>
      <c r="E977" s="1">
        <v>45115</v>
      </c>
      <c r="F977" s="1">
        <v>45128</v>
      </c>
      <c r="G977">
        <v>20.2</v>
      </c>
      <c r="H977">
        <v>248.02</v>
      </c>
      <c r="I977" t="s">
        <v>48</v>
      </c>
      <c r="J977">
        <v>2051</v>
      </c>
      <c r="K977">
        <v>5</v>
      </c>
    </row>
    <row r="978" spans="1:11">
      <c r="A978" t="s">
        <v>1025</v>
      </c>
      <c r="B978" t="s">
        <v>40</v>
      </c>
      <c r="C978" t="s">
        <v>32</v>
      </c>
      <c r="D978" t="s">
        <v>15</v>
      </c>
      <c r="E978" s="1">
        <v>45080</v>
      </c>
      <c r="F978" s="1">
        <v>45086</v>
      </c>
      <c r="G978">
        <v>17.7</v>
      </c>
      <c r="H978">
        <v>309.3</v>
      </c>
      <c r="I978" t="s">
        <v>16</v>
      </c>
      <c r="J978">
        <v>2198</v>
      </c>
      <c r="K978">
        <v>6</v>
      </c>
    </row>
    <row r="979" spans="1:11">
      <c r="A979" t="s">
        <v>1026</v>
      </c>
      <c r="B979" t="s">
        <v>21</v>
      </c>
      <c r="C979" t="s">
        <v>29</v>
      </c>
      <c r="D979" t="s">
        <v>43</v>
      </c>
      <c r="E979" s="1">
        <v>45013</v>
      </c>
      <c r="F979" s="1">
        <v>45016</v>
      </c>
      <c r="G979">
        <v>19.7</v>
      </c>
      <c r="H979">
        <v>199</v>
      </c>
      <c r="I979" t="s">
        <v>16</v>
      </c>
      <c r="J979">
        <v>1435</v>
      </c>
      <c r="K979">
        <v>3</v>
      </c>
    </row>
    <row r="980" spans="1:11">
      <c r="A980" t="s">
        <v>1027</v>
      </c>
      <c r="B980" t="s">
        <v>57</v>
      </c>
      <c r="C980" t="s">
        <v>41</v>
      </c>
      <c r="D980" t="s">
        <v>38</v>
      </c>
      <c r="E980" s="1">
        <v>45273</v>
      </c>
      <c r="F980" s="1">
        <v>45277</v>
      </c>
      <c r="G980">
        <v>23.1</v>
      </c>
      <c r="H980">
        <v>221.08</v>
      </c>
      <c r="I980" t="s">
        <v>16</v>
      </c>
      <c r="J980">
        <v>1280</v>
      </c>
      <c r="K980">
        <v>4</v>
      </c>
    </row>
    <row r="981" spans="1:11">
      <c r="A981" t="s">
        <v>1028</v>
      </c>
      <c r="B981" t="s">
        <v>21</v>
      </c>
      <c r="C981" t="s">
        <v>32</v>
      </c>
      <c r="D981" t="s">
        <v>19</v>
      </c>
      <c r="E981" s="1">
        <v>45008</v>
      </c>
      <c r="F981" s="1">
        <v>45023</v>
      </c>
      <c r="G981">
        <v>9.6</v>
      </c>
      <c r="H981">
        <v>82.64</v>
      </c>
      <c r="I981" t="s">
        <v>48</v>
      </c>
      <c r="J981">
        <v>490</v>
      </c>
      <c r="K981">
        <v>4</v>
      </c>
    </row>
    <row r="982" spans="1:11">
      <c r="A982" t="s">
        <v>1029</v>
      </c>
      <c r="B982" t="s">
        <v>50</v>
      </c>
      <c r="C982" t="s">
        <v>71</v>
      </c>
      <c r="D982" t="s">
        <v>60</v>
      </c>
      <c r="E982" s="1">
        <v>45184</v>
      </c>
      <c r="F982" s="1">
        <v>45188</v>
      </c>
      <c r="G982">
        <v>7.9</v>
      </c>
      <c r="H982">
        <v>161.43</v>
      </c>
      <c r="I982" t="s">
        <v>16</v>
      </c>
      <c r="J982">
        <v>1355</v>
      </c>
      <c r="K982">
        <v>4</v>
      </c>
    </row>
    <row r="983" spans="1:11">
      <c r="A983" t="s">
        <v>1030</v>
      </c>
      <c r="B983" t="s">
        <v>13</v>
      </c>
      <c r="C983" t="s">
        <v>37</v>
      </c>
      <c r="D983" t="s">
        <v>33</v>
      </c>
      <c r="E983" s="1">
        <v>45007</v>
      </c>
      <c r="F983" s="1">
        <v>45010</v>
      </c>
      <c r="G983">
        <v>16</v>
      </c>
      <c r="H983">
        <v>178.47</v>
      </c>
      <c r="I983" t="s">
        <v>16</v>
      </c>
      <c r="J983">
        <v>1288</v>
      </c>
      <c r="K983">
        <v>3</v>
      </c>
    </row>
    <row r="984" spans="1:11">
      <c r="A984" t="s">
        <v>1031</v>
      </c>
      <c r="B984" t="s">
        <v>13</v>
      </c>
      <c r="C984" t="s">
        <v>25</v>
      </c>
      <c r="D984" t="s">
        <v>19</v>
      </c>
      <c r="E984" s="1">
        <v>45020</v>
      </c>
      <c r="F984" s="1">
        <v>45023</v>
      </c>
      <c r="G984">
        <v>66.099999999999994</v>
      </c>
      <c r="H984">
        <v>217.51</v>
      </c>
      <c r="I984" t="s">
        <v>16</v>
      </c>
      <c r="J984">
        <v>779</v>
      </c>
      <c r="K984">
        <v>3</v>
      </c>
    </row>
    <row r="985" spans="1:11">
      <c r="A985" t="s">
        <v>1032</v>
      </c>
      <c r="B985" t="s">
        <v>13</v>
      </c>
      <c r="C985" t="s">
        <v>45</v>
      </c>
      <c r="D985" t="s">
        <v>60</v>
      </c>
      <c r="E985" s="1">
        <v>45149</v>
      </c>
      <c r="F985" s="1">
        <v>45155</v>
      </c>
      <c r="G985">
        <v>27</v>
      </c>
      <c r="H985">
        <v>210.66</v>
      </c>
      <c r="I985" t="s">
        <v>61</v>
      </c>
      <c r="J985">
        <v>1555</v>
      </c>
      <c r="K985">
        <v>6</v>
      </c>
    </row>
    <row r="986" spans="1:11">
      <c r="A986" t="s">
        <v>1033</v>
      </c>
      <c r="B986" t="s">
        <v>40</v>
      </c>
      <c r="C986" t="s">
        <v>55</v>
      </c>
      <c r="D986" t="s">
        <v>19</v>
      </c>
      <c r="E986" s="1">
        <v>45203</v>
      </c>
      <c r="F986" s="1">
        <v>45207</v>
      </c>
      <c r="G986">
        <v>20</v>
      </c>
      <c r="H986">
        <v>276.56</v>
      </c>
      <c r="I986" t="s">
        <v>16</v>
      </c>
      <c r="J986">
        <v>1631</v>
      </c>
      <c r="K986">
        <v>4</v>
      </c>
    </row>
    <row r="987" spans="1:11">
      <c r="A987" t="s">
        <v>1034</v>
      </c>
      <c r="B987" t="s">
        <v>36</v>
      </c>
      <c r="C987" t="s">
        <v>45</v>
      </c>
      <c r="D987" t="s">
        <v>15</v>
      </c>
      <c r="E987" s="1">
        <v>45119</v>
      </c>
      <c r="F987" s="1">
        <v>45123</v>
      </c>
      <c r="G987">
        <v>45</v>
      </c>
      <c r="H987">
        <v>108.75</v>
      </c>
      <c r="I987" t="s">
        <v>16</v>
      </c>
      <c r="J987">
        <v>400</v>
      </c>
      <c r="K987">
        <v>4</v>
      </c>
    </row>
    <row r="988" spans="1:11">
      <c r="A988" t="s">
        <v>1035</v>
      </c>
      <c r="B988" t="s">
        <v>21</v>
      </c>
      <c r="C988" t="s">
        <v>71</v>
      </c>
      <c r="D988" t="s">
        <v>26</v>
      </c>
      <c r="E988" s="1">
        <v>45278</v>
      </c>
      <c r="F988" s="1">
        <v>45284</v>
      </c>
      <c r="G988">
        <v>42.1</v>
      </c>
      <c r="H988">
        <v>285.70999999999998</v>
      </c>
      <c r="I988" t="s">
        <v>16</v>
      </c>
      <c r="J988">
        <v>1460</v>
      </c>
      <c r="K988">
        <v>6</v>
      </c>
    </row>
    <row r="989" spans="1:11">
      <c r="A989" t="s">
        <v>1036</v>
      </c>
      <c r="B989" t="s">
        <v>50</v>
      </c>
      <c r="C989" t="s">
        <v>82</v>
      </c>
      <c r="D989" t="s">
        <v>43</v>
      </c>
      <c r="E989" s="1">
        <v>45048</v>
      </c>
      <c r="F989" s="1">
        <v>45052</v>
      </c>
      <c r="G989">
        <v>27.6</v>
      </c>
      <c r="H989">
        <v>151.22</v>
      </c>
      <c r="I989" t="s">
        <v>48</v>
      </c>
      <c r="J989">
        <v>1095</v>
      </c>
      <c r="K989">
        <v>3</v>
      </c>
    </row>
    <row r="990" spans="1:11">
      <c r="A990" t="s">
        <v>1037</v>
      </c>
      <c r="B990" t="s">
        <v>57</v>
      </c>
      <c r="C990" t="s">
        <v>18</v>
      </c>
      <c r="D990" t="s">
        <v>33</v>
      </c>
      <c r="E990" s="1">
        <v>45062</v>
      </c>
      <c r="F990" s="1">
        <v>45064</v>
      </c>
      <c r="G990">
        <v>16</v>
      </c>
      <c r="H990">
        <v>70.650000000000006</v>
      </c>
      <c r="I990" t="s">
        <v>16</v>
      </c>
      <c r="J990">
        <v>336</v>
      </c>
      <c r="K990">
        <v>2</v>
      </c>
    </row>
    <row r="991" spans="1:11">
      <c r="A991" t="s">
        <v>1038</v>
      </c>
      <c r="B991" t="s">
        <v>21</v>
      </c>
      <c r="C991" t="s">
        <v>14</v>
      </c>
      <c r="D991" t="s">
        <v>38</v>
      </c>
      <c r="E991" s="1">
        <v>45278</v>
      </c>
      <c r="F991" s="1">
        <v>45283</v>
      </c>
      <c r="G991">
        <v>19</v>
      </c>
      <c r="H991">
        <v>224</v>
      </c>
      <c r="I991" t="s">
        <v>16</v>
      </c>
      <c r="J991">
        <v>1524</v>
      </c>
      <c r="K991">
        <v>5</v>
      </c>
    </row>
    <row r="992" spans="1:11">
      <c r="A992" t="s">
        <v>1039</v>
      </c>
      <c r="B992" t="s">
        <v>31</v>
      </c>
      <c r="C992" t="s">
        <v>14</v>
      </c>
      <c r="D992" t="s">
        <v>26</v>
      </c>
      <c r="E992" s="1">
        <v>44949</v>
      </c>
      <c r="F992" s="1">
        <v>44952</v>
      </c>
      <c r="G992">
        <v>10.4</v>
      </c>
      <c r="H992">
        <v>96.85</v>
      </c>
      <c r="I992" t="s">
        <v>16</v>
      </c>
      <c r="J992">
        <v>762</v>
      </c>
      <c r="K992">
        <v>3</v>
      </c>
    </row>
    <row r="993" spans="1:11">
      <c r="A993" t="s">
        <v>1040</v>
      </c>
      <c r="B993" t="s">
        <v>57</v>
      </c>
      <c r="C993" t="s">
        <v>25</v>
      </c>
      <c r="D993" t="s">
        <v>33</v>
      </c>
      <c r="E993" s="1">
        <v>45066</v>
      </c>
      <c r="F993" s="1">
        <v>45072</v>
      </c>
      <c r="G993">
        <v>24.2</v>
      </c>
      <c r="H993">
        <v>223.55</v>
      </c>
      <c r="I993" t="s">
        <v>63</v>
      </c>
      <c r="J993">
        <v>1524</v>
      </c>
      <c r="K993">
        <v>6</v>
      </c>
    </row>
    <row r="994" spans="1:11">
      <c r="A994" t="s">
        <v>1041</v>
      </c>
      <c r="B994" t="s">
        <v>40</v>
      </c>
      <c r="C994" t="s">
        <v>58</v>
      </c>
      <c r="D994" t="s">
        <v>60</v>
      </c>
      <c r="E994" s="1">
        <v>45180</v>
      </c>
      <c r="F994" s="1">
        <v>45182</v>
      </c>
      <c r="G994">
        <v>25.5</v>
      </c>
      <c r="H994">
        <v>109.88</v>
      </c>
      <c r="I994" t="s">
        <v>16</v>
      </c>
      <c r="J994">
        <v>688</v>
      </c>
      <c r="K994">
        <v>2</v>
      </c>
    </row>
    <row r="995" spans="1:11">
      <c r="A995" t="s">
        <v>1042</v>
      </c>
      <c r="B995" t="s">
        <v>31</v>
      </c>
      <c r="C995" t="s">
        <v>41</v>
      </c>
      <c r="D995" t="s">
        <v>19</v>
      </c>
      <c r="E995" s="1">
        <v>45102</v>
      </c>
      <c r="F995" s="1">
        <v>45107</v>
      </c>
      <c r="G995">
        <v>20</v>
      </c>
      <c r="H995">
        <v>357.86</v>
      </c>
      <c r="I995" t="s">
        <v>16</v>
      </c>
      <c r="J995">
        <v>2339</v>
      </c>
      <c r="K995">
        <v>5</v>
      </c>
    </row>
    <row r="996" spans="1:11">
      <c r="A996" t="s">
        <v>1043</v>
      </c>
      <c r="B996" t="s">
        <v>13</v>
      </c>
      <c r="C996" t="s">
        <v>37</v>
      </c>
      <c r="D996" t="s">
        <v>19</v>
      </c>
      <c r="E996" s="1">
        <v>45039</v>
      </c>
      <c r="F996" s="1">
        <v>45045</v>
      </c>
      <c r="G996">
        <v>19.100000000000001</v>
      </c>
      <c r="H996">
        <v>302.52</v>
      </c>
      <c r="I996" t="s">
        <v>16</v>
      </c>
      <c r="J996">
        <v>2132</v>
      </c>
      <c r="K996">
        <v>6</v>
      </c>
    </row>
    <row r="997" spans="1:11">
      <c r="A997" t="s">
        <v>1044</v>
      </c>
      <c r="B997" t="s">
        <v>24</v>
      </c>
      <c r="C997" t="s">
        <v>47</v>
      </c>
      <c r="D997" t="s">
        <v>26</v>
      </c>
      <c r="E997" s="1">
        <v>45287</v>
      </c>
      <c r="F997" s="1">
        <v>45291</v>
      </c>
      <c r="G997">
        <v>8</v>
      </c>
      <c r="H997">
        <v>211.44</v>
      </c>
      <c r="I997" t="s">
        <v>16</v>
      </c>
      <c r="J997">
        <v>1257</v>
      </c>
      <c r="K997">
        <v>4</v>
      </c>
    </row>
    <row r="998" spans="1:11">
      <c r="A998" t="s">
        <v>1045</v>
      </c>
      <c r="B998" t="s">
        <v>50</v>
      </c>
      <c r="C998" t="s">
        <v>14</v>
      </c>
      <c r="D998" t="s">
        <v>26</v>
      </c>
      <c r="E998" s="1">
        <v>45259</v>
      </c>
      <c r="F998" s="1">
        <v>45263</v>
      </c>
      <c r="G998">
        <v>25.4</v>
      </c>
      <c r="H998">
        <v>145.24</v>
      </c>
      <c r="I998" t="s">
        <v>16</v>
      </c>
      <c r="J998">
        <v>749</v>
      </c>
      <c r="K998">
        <v>4</v>
      </c>
    </row>
    <row r="999" spans="1:11">
      <c r="A999" t="s">
        <v>1046</v>
      </c>
      <c r="B999" t="s">
        <v>40</v>
      </c>
      <c r="C999" t="s">
        <v>32</v>
      </c>
      <c r="D999" t="s">
        <v>38</v>
      </c>
      <c r="E999" s="1">
        <v>44970</v>
      </c>
      <c r="F999" s="1">
        <v>44973</v>
      </c>
      <c r="G999">
        <v>11.6</v>
      </c>
      <c r="H999">
        <v>99.14</v>
      </c>
      <c r="I999" t="s">
        <v>16</v>
      </c>
      <c r="J999">
        <v>773</v>
      </c>
      <c r="K999">
        <v>3</v>
      </c>
    </row>
    <row r="1000" spans="1:11">
      <c r="A1000" t="s">
        <v>1047</v>
      </c>
      <c r="B1000" t="s">
        <v>31</v>
      </c>
      <c r="C1000" t="s">
        <v>82</v>
      </c>
      <c r="D1000" t="s">
        <v>19</v>
      </c>
      <c r="E1000" s="1">
        <v>45059</v>
      </c>
      <c r="F1000" s="1">
        <v>45062</v>
      </c>
      <c r="G1000">
        <v>14.9</v>
      </c>
      <c r="H1000">
        <v>55.89</v>
      </c>
      <c r="I1000" t="s">
        <v>48</v>
      </c>
      <c r="J1000">
        <v>228</v>
      </c>
      <c r="K1000">
        <v>2</v>
      </c>
    </row>
    <row r="1001" spans="1:11">
      <c r="A1001" t="s">
        <v>1048</v>
      </c>
      <c r="B1001" t="s">
        <v>40</v>
      </c>
      <c r="C1001" t="s">
        <v>32</v>
      </c>
      <c r="D1001" t="s">
        <v>43</v>
      </c>
      <c r="E1001" s="1">
        <v>45244</v>
      </c>
      <c r="F1001" s="1">
        <v>45251</v>
      </c>
      <c r="G1001">
        <v>19.399999999999999</v>
      </c>
      <c r="H1001">
        <v>348.76</v>
      </c>
      <c r="I1001" t="s">
        <v>16</v>
      </c>
      <c r="J1001">
        <v>2417</v>
      </c>
      <c r="K1001">
        <v>7</v>
      </c>
    </row>
    <row r="1002" spans="1:11">
      <c r="A1002" t="s">
        <v>1049</v>
      </c>
      <c r="B1002" t="s">
        <v>57</v>
      </c>
      <c r="C1002" t="s">
        <v>45</v>
      </c>
      <c r="D1002" t="s">
        <v>33</v>
      </c>
      <c r="E1002" s="1">
        <v>45225</v>
      </c>
      <c r="F1002" s="1">
        <v>45228</v>
      </c>
      <c r="G1002">
        <v>3.4</v>
      </c>
      <c r="H1002">
        <v>77.16</v>
      </c>
      <c r="I1002" t="s">
        <v>16</v>
      </c>
      <c r="J1002">
        <v>500</v>
      </c>
      <c r="K1002">
        <v>3</v>
      </c>
    </row>
    <row r="1003" spans="1:11">
      <c r="A1003" t="s">
        <v>1050</v>
      </c>
      <c r="B1003" t="s">
        <v>24</v>
      </c>
      <c r="C1003" t="s">
        <v>41</v>
      </c>
      <c r="D1003" t="s">
        <v>60</v>
      </c>
      <c r="E1003" s="1">
        <v>44942</v>
      </c>
      <c r="F1003" s="1">
        <v>44945</v>
      </c>
      <c r="G1003">
        <v>50.5</v>
      </c>
      <c r="H1003">
        <v>116.2</v>
      </c>
      <c r="I1003" t="s">
        <v>16</v>
      </c>
      <c r="J1003">
        <v>493</v>
      </c>
      <c r="K1003">
        <v>3</v>
      </c>
    </row>
    <row r="1004" spans="1:11">
      <c r="A1004" t="s">
        <v>1051</v>
      </c>
      <c r="B1004" t="s">
        <v>31</v>
      </c>
      <c r="C1004" t="s">
        <v>58</v>
      </c>
      <c r="D1004" t="s">
        <v>19</v>
      </c>
      <c r="E1004" s="1">
        <v>45143</v>
      </c>
      <c r="F1004" s="1">
        <v>45157</v>
      </c>
      <c r="G1004">
        <v>29.7</v>
      </c>
      <c r="H1004">
        <v>98.25</v>
      </c>
      <c r="I1004" t="s">
        <v>48</v>
      </c>
      <c r="J1004">
        <v>456</v>
      </c>
      <c r="K1004">
        <v>1</v>
      </c>
    </row>
    <row r="1005" spans="1:11">
      <c r="A1005" t="s">
        <v>1052</v>
      </c>
      <c r="B1005" t="s">
        <v>13</v>
      </c>
      <c r="C1005" t="s">
        <v>71</v>
      </c>
      <c r="D1005" t="s">
        <v>38</v>
      </c>
      <c r="E1005" s="1">
        <v>45291</v>
      </c>
      <c r="F1005" s="1">
        <v>45296</v>
      </c>
      <c r="G1005">
        <v>11.7</v>
      </c>
      <c r="H1005">
        <v>108.46</v>
      </c>
      <c r="I1005" t="s">
        <v>16</v>
      </c>
      <c r="J1005">
        <v>612</v>
      </c>
      <c r="K1005">
        <v>5</v>
      </c>
    </row>
    <row r="1006" spans="1:11">
      <c r="A1006" t="s">
        <v>1053</v>
      </c>
      <c r="B1006" t="s">
        <v>31</v>
      </c>
      <c r="C1006" t="s">
        <v>18</v>
      </c>
      <c r="D1006" t="s">
        <v>26</v>
      </c>
      <c r="E1006" s="1">
        <v>45209</v>
      </c>
      <c r="F1006" s="1">
        <v>45214</v>
      </c>
      <c r="G1006">
        <v>0.3</v>
      </c>
      <c r="H1006">
        <v>281.60000000000002</v>
      </c>
      <c r="I1006" t="s">
        <v>16</v>
      </c>
      <c r="J1006">
        <v>2137</v>
      </c>
      <c r="K1006">
        <v>5</v>
      </c>
    </row>
    <row r="1007" spans="1:11">
      <c r="A1007" t="s">
        <v>1054</v>
      </c>
      <c r="B1007" t="s">
        <v>50</v>
      </c>
      <c r="C1007" t="s">
        <v>18</v>
      </c>
      <c r="D1007" t="s">
        <v>19</v>
      </c>
      <c r="E1007" s="1">
        <v>45226</v>
      </c>
      <c r="F1007" s="1">
        <v>45229</v>
      </c>
      <c r="G1007">
        <v>27.6</v>
      </c>
      <c r="H1007">
        <v>157</v>
      </c>
      <c r="I1007" t="s">
        <v>16</v>
      </c>
      <c r="J1007">
        <v>850</v>
      </c>
      <c r="K1007">
        <v>3</v>
      </c>
    </row>
    <row r="1008" spans="1:11">
      <c r="A1008" t="s">
        <v>1055</v>
      </c>
      <c r="B1008" t="s">
        <v>36</v>
      </c>
      <c r="C1008" t="s">
        <v>41</v>
      </c>
      <c r="D1008" t="s">
        <v>38</v>
      </c>
      <c r="E1008" s="1">
        <v>45158</v>
      </c>
      <c r="F1008" s="1">
        <v>45163</v>
      </c>
      <c r="G1008">
        <v>6.9</v>
      </c>
      <c r="H1008">
        <v>39.81</v>
      </c>
      <c r="I1008" t="s">
        <v>48</v>
      </c>
      <c r="J1008">
        <v>283</v>
      </c>
      <c r="K1008">
        <v>3</v>
      </c>
    </row>
    <row r="1009" spans="1:11">
      <c r="A1009" t="s">
        <v>1056</v>
      </c>
      <c r="B1009" t="s">
        <v>57</v>
      </c>
      <c r="C1009" t="s">
        <v>58</v>
      </c>
      <c r="D1009" t="s">
        <v>33</v>
      </c>
      <c r="E1009" s="1">
        <v>44992</v>
      </c>
      <c r="F1009" s="1">
        <v>45004</v>
      </c>
      <c r="G1009">
        <v>5.4</v>
      </c>
      <c r="H1009">
        <v>184.97</v>
      </c>
      <c r="I1009" t="s">
        <v>48</v>
      </c>
      <c r="J1009">
        <v>1364</v>
      </c>
      <c r="K1009">
        <v>6</v>
      </c>
    </row>
    <row r="1010" spans="1:11">
      <c r="A1010" t="s">
        <v>1057</v>
      </c>
      <c r="B1010" t="s">
        <v>24</v>
      </c>
      <c r="C1010" t="s">
        <v>53</v>
      </c>
      <c r="D1010" t="s">
        <v>19</v>
      </c>
      <c r="E1010" s="1">
        <v>45147</v>
      </c>
      <c r="F1010" s="1">
        <v>45153</v>
      </c>
      <c r="G1010">
        <v>20.6</v>
      </c>
      <c r="H1010">
        <v>317.60000000000002</v>
      </c>
      <c r="I1010" t="s">
        <v>16</v>
      </c>
      <c r="J1010">
        <v>1975</v>
      </c>
      <c r="K1010">
        <v>6</v>
      </c>
    </row>
    <row r="1011" spans="1:11">
      <c r="A1011" t="s">
        <v>1058</v>
      </c>
      <c r="B1011" t="s">
        <v>52</v>
      </c>
      <c r="C1011" t="s">
        <v>45</v>
      </c>
      <c r="D1011" t="s">
        <v>43</v>
      </c>
      <c r="E1011" s="1">
        <v>45035</v>
      </c>
      <c r="F1011" s="1">
        <v>45038</v>
      </c>
      <c r="G1011">
        <v>10.1</v>
      </c>
      <c r="H1011">
        <v>104.49</v>
      </c>
      <c r="I1011" t="s">
        <v>16</v>
      </c>
      <c r="J1011">
        <v>790</v>
      </c>
      <c r="K1011">
        <v>3</v>
      </c>
    </row>
    <row r="1012" spans="1:11">
      <c r="A1012" t="s">
        <v>1059</v>
      </c>
      <c r="B1012" t="s">
        <v>13</v>
      </c>
      <c r="C1012" t="s">
        <v>32</v>
      </c>
      <c r="D1012" t="s">
        <v>19</v>
      </c>
      <c r="E1012" s="1">
        <v>45229</v>
      </c>
      <c r="F1012" s="1">
        <v>45234</v>
      </c>
      <c r="G1012">
        <v>17</v>
      </c>
      <c r="H1012">
        <v>252.92</v>
      </c>
      <c r="I1012" t="s">
        <v>16</v>
      </c>
      <c r="J1012">
        <v>1685</v>
      </c>
      <c r="K1012">
        <v>5</v>
      </c>
    </row>
    <row r="1013" spans="1:11">
      <c r="A1013" t="s">
        <v>1060</v>
      </c>
      <c r="B1013" t="s">
        <v>36</v>
      </c>
      <c r="C1013" t="s">
        <v>82</v>
      </c>
      <c r="D1013" t="s">
        <v>33</v>
      </c>
      <c r="E1013" s="1">
        <v>45184</v>
      </c>
      <c r="F1013" s="1">
        <v>45187</v>
      </c>
      <c r="G1013">
        <v>30.9</v>
      </c>
      <c r="H1013">
        <v>179.89</v>
      </c>
      <c r="I1013" t="s">
        <v>16</v>
      </c>
      <c r="J1013">
        <v>1000</v>
      </c>
      <c r="K1013">
        <v>3</v>
      </c>
    </row>
    <row r="1014" spans="1:11">
      <c r="A1014" t="s">
        <v>1061</v>
      </c>
      <c r="B1014" t="s">
        <v>50</v>
      </c>
      <c r="C1014" t="s">
        <v>22</v>
      </c>
      <c r="D1014" t="s">
        <v>26</v>
      </c>
      <c r="E1014" s="1">
        <v>45042</v>
      </c>
      <c r="F1014" s="1">
        <v>45048</v>
      </c>
      <c r="G1014">
        <v>8.1999999999999993</v>
      </c>
      <c r="H1014">
        <v>306.04000000000002</v>
      </c>
      <c r="I1014" t="s">
        <v>16</v>
      </c>
      <c r="J1014">
        <v>2254</v>
      </c>
      <c r="K1014">
        <v>6</v>
      </c>
    </row>
    <row r="1015" spans="1:11">
      <c r="A1015" t="s">
        <v>1062</v>
      </c>
      <c r="B1015" t="s">
        <v>21</v>
      </c>
      <c r="C1015" t="s">
        <v>18</v>
      </c>
      <c r="D1015" t="s">
        <v>33</v>
      </c>
      <c r="E1015" s="1">
        <v>45088</v>
      </c>
      <c r="F1015" s="1">
        <v>45093</v>
      </c>
      <c r="G1015">
        <v>37.6</v>
      </c>
      <c r="H1015">
        <v>305.62</v>
      </c>
      <c r="I1015" t="s">
        <v>16</v>
      </c>
      <c r="J1015">
        <v>1761</v>
      </c>
      <c r="K1015">
        <v>5</v>
      </c>
    </row>
    <row r="1016" spans="1:11">
      <c r="A1016" t="s">
        <v>1063</v>
      </c>
      <c r="B1016" t="s">
        <v>31</v>
      </c>
      <c r="C1016" t="s">
        <v>82</v>
      </c>
      <c r="D1016" t="s">
        <v>33</v>
      </c>
      <c r="E1016" s="1">
        <v>45074</v>
      </c>
      <c r="F1016" s="1">
        <v>45080</v>
      </c>
      <c r="G1016">
        <v>78.7</v>
      </c>
      <c r="H1016">
        <v>309.33</v>
      </c>
      <c r="I1016" t="s">
        <v>16</v>
      </c>
      <c r="J1016">
        <v>1394</v>
      </c>
      <c r="K1016">
        <v>6</v>
      </c>
    </row>
    <row r="1017" spans="1:11">
      <c r="A1017" t="s">
        <v>1064</v>
      </c>
      <c r="B1017" t="s">
        <v>36</v>
      </c>
      <c r="C1017" t="s">
        <v>71</v>
      </c>
      <c r="D1017" t="s">
        <v>60</v>
      </c>
      <c r="E1017" s="1">
        <v>45256</v>
      </c>
      <c r="F1017" s="1">
        <v>45260</v>
      </c>
      <c r="G1017">
        <v>59.8</v>
      </c>
      <c r="H1017">
        <v>203.1</v>
      </c>
      <c r="I1017" t="s">
        <v>16</v>
      </c>
      <c r="J1017">
        <v>789</v>
      </c>
      <c r="K1017">
        <v>4</v>
      </c>
    </row>
    <row r="1018" spans="1:11">
      <c r="A1018" t="s">
        <v>1065</v>
      </c>
      <c r="B1018" t="s">
        <v>13</v>
      </c>
      <c r="C1018" t="s">
        <v>22</v>
      </c>
      <c r="D1018" t="s">
        <v>43</v>
      </c>
      <c r="E1018" s="1">
        <v>45152</v>
      </c>
      <c r="F1018" s="1">
        <v>45157</v>
      </c>
      <c r="G1018">
        <v>21.4</v>
      </c>
      <c r="H1018">
        <v>113.32</v>
      </c>
      <c r="I1018" t="s">
        <v>61</v>
      </c>
      <c r="J1018">
        <v>790</v>
      </c>
      <c r="K1018">
        <v>5</v>
      </c>
    </row>
    <row r="1019" spans="1:11">
      <c r="A1019" t="s">
        <v>1066</v>
      </c>
      <c r="B1019" t="s">
        <v>31</v>
      </c>
      <c r="C1019" t="s">
        <v>29</v>
      </c>
      <c r="D1019" t="s">
        <v>26</v>
      </c>
      <c r="E1019" s="1">
        <v>45058</v>
      </c>
      <c r="F1019" s="1">
        <v>45064</v>
      </c>
      <c r="G1019">
        <v>50.3</v>
      </c>
      <c r="H1019">
        <v>257.68</v>
      </c>
      <c r="I1019" t="s">
        <v>16</v>
      </c>
      <c r="J1019">
        <v>1485</v>
      </c>
      <c r="K1019">
        <v>6</v>
      </c>
    </row>
    <row r="1020" spans="1:11">
      <c r="A1020" t="s">
        <v>1067</v>
      </c>
      <c r="B1020" t="s">
        <v>50</v>
      </c>
      <c r="C1020" t="s">
        <v>14</v>
      </c>
      <c r="D1020" t="s">
        <v>38</v>
      </c>
      <c r="E1020" s="1">
        <v>45144</v>
      </c>
      <c r="F1020" s="1">
        <v>45148</v>
      </c>
      <c r="G1020">
        <v>23.7</v>
      </c>
      <c r="H1020">
        <v>280.45</v>
      </c>
      <c r="I1020" t="s">
        <v>68</v>
      </c>
      <c r="J1020">
        <v>2017</v>
      </c>
      <c r="K1020">
        <v>4</v>
      </c>
    </row>
    <row r="1021" spans="1:11">
      <c r="A1021" t="s">
        <v>1068</v>
      </c>
      <c r="B1021" t="s">
        <v>13</v>
      </c>
      <c r="C1021" t="s">
        <v>41</v>
      </c>
      <c r="D1021" t="s">
        <v>15</v>
      </c>
      <c r="E1021" s="1">
        <v>44979</v>
      </c>
      <c r="F1021" s="1">
        <v>44984</v>
      </c>
      <c r="G1021">
        <v>43.5</v>
      </c>
      <c r="H1021">
        <v>324.49</v>
      </c>
      <c r="I1021" t="s">
        <v>16</v>
      </c>
      <c r="J1021">
        <v>2021</v>
      </c>
      <c r="K1021">
        <v>5</v>
      </c>
    </row>
    <row r="1022" spans="1:11">
      <c r="A1022" t="s">
        <v>1069</v>
      </c>
      <c r="B1022" t="s">
        <v>52</v>
      </c>
      <c r="C1022" t="s">
        <v>47</v>
      </c>
      <c r="D1022" t="s">
        <v>15</v>
      </c>
      <c r="E1022" s="1">
        <v>45192</v>
      </c>
      <c r="F1022" s="1">
        <v>45197</v>
      </c>
      <c r="G1022">
        <v>14.9</v>
      </c>
      <c r="I1022" t="s">
        <v>48</v>
      </c>
      <c r="J1022">
        <v>215</v>
      </c>
      <c r="K1022">
        <v>1</v>
      </c>
    </row>
    <row r="1023" spans="1:11">
      <c r="A1023" t="s">
        <v>1070</v>
      </c>
      <c r="B1023" t="s">
        <v>52</v>
      </c>
      <c r="C1023" t="s">
        <v>82</v>
      </c>
      <c r="D1023" t="s">
        <v>26</v>
      </c>
      <c r="E1023" s="1">
        <v>45013</v>
      </c>
      <c r="F1023" s="1">
        <v>45020</v>
      </c>
      <c r="G1023">
        <v>16.7</v>
      </c>
      <c r="H1023">
        <v>200.43</v>
      </c>
      <c r="I1023" t="s">
        <v>16</v>
      </c>
      <c r="J1023">
        <v>1466</v>
      </c>
      <c r="K1023">
        <v>7</v>
      </c>
    </row>
    <row r="1024" spans="1:11">
      <c r="A1024" t="s">
        <v>1071</v>
      </c>
      <c r="B1024" t="s">
        <v>24</v>
      </c>
      <c r="C1024" t="s">
        <v>47</v>
      </c>
      <c r="D1024" t="s">
        <v>33</v>
      </c>
      <c r="E1024" s="1">
        <v>45000</v>
      </c>
      <c r="F1024" s="1">
        <v>45002</v>
      </c>
      <c r="G1024">
        <v>12.8</v>
      </c>
      <c r="H1024">
        <v>94.48</v>
      </c>
      <c r="I1024" t="s">
        <v>16</v>
      </c>
      <c r="J1024">
        <v>626</v>
      </c>
      <c r="K1024">
        <v>2</v>
      </c>
    </row>
    <row r="1025" spans="1:11">
      <c r="A1025" t="s">
        <v>1072</v>
      </c>
      <c r="B1025" t="s">
        <v>57</v>
      </c>
      <c r="C1025" t="s">
        <v>18</v>
      </c>
      <c r="D1025" t="s">
        <v>26</v>
      </c>
      <c r="E1025" s="1">
        <v>44977</v>
      </c>
      <c r="F1025" s="1">
        <v>44980</v>
      </c>
      <c r="G1025">
        <v>3.5</v>
      </c>
      <c r="H1025">
        <v>138.85</v>
      </c>
      <c r="I1025" t="s">
        <v>16</v>
      </c>
      <c r="J1025">
        <v>1063</v>
      </c>
      <c r="K1025">
        <v>3</v>
      </c>
    </row>
    <row r="1026" spans="1:11">
      <c r="A1026" t="s">
        <v>1073</v>
      </c>
      <c r="B1026" t="s">
        <v>52</v>
      </c>
      <c r="C1026" t="s">
        <v>18</v>
      </c>
      <c r="D1026" t="s">
        <v>15</v>
      </c>
      <c r="E1026" s="1">
        <v>45032</v>
      </c>
      <c r="F1026" s="1">
        <v>45034</v>
      </c>
      <c r="G1026">
        <v>166.1</v>
      </c>
      <c r="H1026">
        <v>337.18</v>
      </c>
      <c r="I1026" t="s">
        <v>16</v>
      </c>
      <c r="J1026">
        <v>870</v>
      </c>
      <c r="K1026">
        <v>2</v>
      </c>
    </row>
    <row r="1027" spans="1:11">
      <c r="A1027" t="s">
        <v>1074</v>
      </c>
      <c r="B1027" t="s">
        <v>24</v>
      </c>
      <c r="C1027" t="s">
        <v>45</v>
      </c>
      <c r="D1027" t="s">
        <v>33</v>
      </c>
      <c r="E1027" s="1">
        <v>45161</v>
      </c>
      <c r="F1027" s="1">
        <v>45166</v>
      </c>
      <c r="G1027">
        <v>21.8</v>
      </c>
      <c r="H1027">
        <v>325.08999999999997</v>
      </c>
      <c r="I1027" t="s">
        <v>16</v>
      </c>
      <c r="J1027">
        <v>2387</v>
      </c>
      <c r="K1027">
        <v>5</v>
      </c>
    </row>
    <row r="1028" spans="1:11">
      <c r="A1028" t="s">
        <v>1075</v>
      </c>
      <c r="B1028" t="s">
        <v>21</v>
      </c>
      <c r="C1028" t="s">
        <v>14</v>
      </c>
      <c r="D1028" t="s">
        <v>38</v>
      </c>
      <c r="E1028" s="1">
        <v>45045</v>
      </c>
      <c r="F1028" s="1">
        <v>45049</v>
      </c>
      <c r="G1028">
        <v>25.3</v>
      </c>
      <c r="H1028">
        <v>172.77</v>
      </c>
      <c r="I1028" t="s">
        <v>16</v>
      </c>
      <c r="J1028">
        <v>1260</v>
      </c>
      <c r="K1028">
        <v>4</v>
      </c>
    </row>
    <row r="1029" spans="1:11">
      <c r="A1029" t="s">
        <v>1076</v>
      </c>
      <c r="B1029" t="s">
        <v>57</v>
      </c>
      <c r="C1029" t="s">
        <v>29</v>
      </c>
      <c r="D1029" t="s">
        <v>26</v>
      </c>
      <c r="E1029" s="1">
        <v>44973</v>
      </c>
      <c r="F1029" s="1">
        <v>44987</v>
      </c>
      <c r="G1029">
        <v>8.5</v>
      </c>
      <c r="H1029">
        <v>228.43</v>
      </c>
      <c r="I1029" t="s">
        <v>48</v>
      </c>
      <c r="J1029">
        <v>1754</v>
      </c>
      <c r="K1029">
        <v>4</v>
      </c>
    </row>
    <row r="1030" spans="1:11">
      <c r="A1030" t="s">
        <v>1077</v>
      </c>
      <c r="B1030" t="s">
        <v>28</v>
      </c>
      <c r="C1030" t="s">
        <v>41</v>
      </c>
      <c r="D1030" t="s">
        <v>15</v>
      </c>
      <c r="E1030" s="1">
        <v>45167</v>
      </c>
      <c r="F1030" s="1">
        <v>45170</v>
      </c>
      <c r="G1030">
        <v>12.4</v>
      </c>
      <c r="H1030">
        <v>129.81</v>
      </c>
      <c r="I1030" t="s">
        <v>63</v>
      </c>
      <c r="J1030">
        <v>842</v>
      </c>
      <c r="K1030">
        <v>3</v>
      </c>
    </row>
    <row r="1031" spans="1:11">
      <c r="A1031" t="s">
        <v>1078</v>
      </c>
      <c r="B1031" t="s">
        <v>28</v>
      </c>
      <c r="C1031" t="s">
        <v>32</v>
      </c>
      <c r="D1031" t="s">
        <v>33</v>
      </c>
      <c r="E1031" s="1">
        <v>45098</v>
      </c>
      <c r="F1031" s="1">
        <v>45102</v>
      </c>
      <c r="G1031">
        <v>40.700000000000003</v>
      </c>
      <c r="H1031">
        <v>240.08</v>
      </c>
      <c r="I1031" t="s">
        <v>16</v>
      </c>
      <c r="J1031">
        <v>1457</v>
      </c>
      <c r="K1031">
        <v>4</v>
      </c>
    </row>
    <row r="1032" spans="1:11">
      <c r="A1032" t="s">
        <v>1079</v>
      </c>
      <c r="B1032" t="s">
        <v>28</v>
      </c>
      <c r="C1032" t="s">
        <v>41</v>
      </c>
      <c r="D1032" t="s">
        <v>26</v>
      </c>
      <c r="E1032" s="1">
        <v>45087</v>
      </c>
      <c r="F1032" s="1">
        <v>45094</v>
      </c>
      <c r="G1032">
        <v>17.3</v>
      </c>
      <c r="H1032">
        <v>300.85000000000002</v>
      </c>
      <c r="I1032" t="s">
        <v>16</v>
      </c>
      <c r="J1032">
        <v>2372</v>
      </c>
      <c r="K1032">
        <v>7</v>
      </c>
    </row>
    <row r="1033" spans="1:11">
      <c r="A1033" t="s">
        <v>1080</v>
      </c>
      <c r="B1033" t="s">
        <v>24</v>
      </c>
      <c r="C1033" t="s">
        <v>82</v>
      </c>
      <c r="D1033" t="s">
        <v>26</v>
      </c>
      <c r="E1033" s="1">
        <v>45133</v>
      </c>
      <c r="F1033" s="1">
        <v>45138</v>
      </c>
      <c r="G1033">
        <v>12.9</v>
      </c>
      <c r="H1033">
        <v>276.52</v>
      </c>
      <c r="I1033" t="s">
        <v>16</v>
      </c>
      <c r="J1033">
        <v>1986</v>
      </c>
      <c r="K1033">
        <v>5</v>
      </c>
    </row>
    <row r="1034" spans="1:11">
      <c r="A1034" t="s">
        <v>1081</v>
      </c>
      <c r="B1034" t="s">
        <v>28</v>
      </c>
      <c r="C1034" t="s">
        <v>25</v>
      </c>
      <c r="D1034" t="s">
        <v>15</v>
      </c>
      <c r="E1034" s="1">
        <v>45087</v>
      </c>
      <c r="F1034" s="1">
        <v>45089</v>
      </c>
      <c r="G1034">
        <v>27.3</v>
      </c>
      <c r="H1034">
        <v>54.83</v>
      </c>
      <c r="I1034" t="s">
        <v>16</v>
      </c>
      <c r="J1034">
        <v>128</v>
      </c>
      <c r="K1034">
        <v>2</v>
      </c>
    </row>
    <row r="1035" spans="1:11">
      <c r="A1035" t="s">
        <v>1082</v>
      </c>
      <c r="B1035" t="s">
        <v>52</v>
      </c>
      <c r="C1035" t="s">
        <v>53</v>
      </c>
      <c r="D1035" t="s">
        <v>26</v>
      </c>
      <c r="E1035" s="1">
        <v>45283</v>
      </c>
      <c r="F1035" s="1">
        <v>45285</v>
      </c>
      <c r="G1035">
        <v>20.2</v>
      </c>
      <c r="H1035">
        <v>82.02</v>
      </c>
      <c r="I1035" t="s">
        <v>16</v>
      </c>
      <c r="J1035">
        <v>426</v>
      </c>
      <c r="K1035">
        <v>2</v>
      </c>
    </row>
    <row r="1036" spans="1:11">
      <c r="A1036" t="s">
        <v>1083</v>
      </c>
      <c r="B1036" t="s">
        <v>57</v>
      </c>
      <c r="C1036" t="s">
        <v>14</v>
      </c>
      <c r="D1036" t="s">
        <v>33</v>
      </c>
      <c r="E1036" s="1">
        <v>45068</v>
      </c>
      <c r="F1036" s="1">
        <v>45073</v>
      </c>
      <c r="G1036">
        <v>22.6</v>
      </c>
      <c r="H1036">
        <v>256.62</v>
      </c>
      <c r="I1036" t="s">
        <v>63</v>
      </c>
      <c r="J1036">
        <v>1708</v>
      </c>
      <c r="K1036">
        <v>5</v>
      </c>
    </row>
    <row r="1037" spans="1:11">
      <c r="A1037" t="s">
        <v>1084</v>
      </c>
      <c r="B1037" t="s">
        <v>24</v>
      </c>
      <c r="C1037" t="s">
        <v>32</v>
      </c>
      <c r="D1037" t="s">
        <v>26</v>
      </c>
      <c r="E1037" s="1">
        <v>45283</v>
      </c>
      <c r="F1037" s="1">
        <v>45292</v>
      </c>
      <c r="G1037">
        <v>15.2</v>
      </c>
      <c r="H1037">
        <v>261.44</v>
      </c>
      <c r="I1037" t="s">
        <v>48</v>
      </c>
      <c r="J1037">
        <v>1561</v>
      </c>
      <c r="K1037">
        <v>3</v>
      </c>
    </row>
    <row r="1038" spans="1:11">
      <c r="A1038" t="s">
        <v>1085</v>
      </c>
      <c r="B1038" t="s">
        <v>36</v>
      </c>
      <c r="C1038" t="s">
        <v>53</v>
      </c>
      <c r="D1038" t="s">
        <v>26</v>
      </c>
      <c r="E1038" s="1">
        <v>45086</v>
      </c>
      <c r="F1038" s="1">
        <v>45100</v>
      </c>
      <c r="G1038">
        <v>18.399999999999999</v>
      </c>
      <c r="H1038">
        <v>156.75</v>
      </c>
      <c r="I1038" t="s">
        <v>48</v>
      </c>
      <c r="J1038">
        <v>1064</v>
      </c>
      <c r="K1038">
        <v>5</v>
      </c>
    </row>
    <row r="1039" spans="1:11">
      <c r="A1039" t="s">
        <v>1086</v>
      </c>
      <c r="B1039" t="s">
        <v>21</v>
      </c>
      <c r="C1039" t="s">
        <v>45</v>
      </c>
      <c r="D1039" t="s">
        <v>19</v>
      </c>
      <c r="E1039" s="1">
        <v>45000</v>
      </c>
      <c r="F1039" s="1">
        <v>45005</v>
      </c>
      <c r="G1039">
        <v>14.7</v>
      </c>
      <c r="H1039">
        <v>292.83</v>
      </c>
      <c r="I1039" t="s">
        <v>16</v>
      </c>
      <c r="J1039">
        <v>1842</v>
      </c>
      <c r="K1039">
        <v>5</v>
      </c>
    </row>
    <row r="1040" spans="1:11">
      <c r="A1040" t="s">
        <v>1087</v>
      </c>
      <c r="B1040" t="s">
        <v>31</v>
      </c>
      <c r="C1040" t="s">
        <v>25</v>
      </c>
      <c r="D1040" t="s">
        <v>43</v>
      </c>
      <c r="E1040" s="1">
        <v>45204</v>
      </c>
      <c r="F1040" s="1">
        <v>45210</v>
      </c>
      <c r="G1040">
        <v>41.9</v>
      </c>
      <c r="H1040">
        <v>129.63999999999999</v>
      </c>
      <c r="I1040" t="s">
        <v>16</v>
      </c>
      <c r="J1040">
        <v>670</v>
      </c>
      <c r="K1040">
        <v>6</v>
      </c>
    </row>
    <row r="1041" spans="1:11">
      <c r="A1041" t="s">
        <v>1088</v>
      </c>
      <c r="B1041" t="s">
        <v>28</v>
      </c>
      <c r="C1041" t="s">
        <v>18</v>
      </c>
      <c r="D1041" t="s">
        <v>15</v>
      </c>
      <c r="E1041" s="1">
        <v>45203</v>
      </c>
      <c r="F1041" s="1">
        <v>45207</v>
      </c>
      <c r="G1041">
        <v>9.4</v>
      </c>
      <c r="H1041">
        <v>208.22</v>
      </c>
      <c r="I1041" t="s">
        <v>16</v>
      </c>
      <c r="J1041">
        <v>1675</v>
      </c>
      <c r="K1041">
        <v>4</v>
      </c>
    </row>
    <row r="1042" spans="1:11">
      <c r="A1042" t="s">
        <v>1089</v>
      </c>
      <c r="B1042" t="s">
        <v>36</v>
      </c>
      <c r="C1042" t="s">
        <v>47</v>
      </c>
      <c r="D1042" t="s">
        <v>33</v>
      </c>
      <c r="E1042" s="1">
        <v>45174</v>
      </c>
      <c r="F1042" s="1">
        <v>45184</v>
      </c>
      <c r="G1042">
        <v>8.4</v>
      </c>
      <c r="H1042">
        <v>237.7</v>
      </c>
      <c r="I1042" t="s">
        <v>48</v>
      </c>
      <c r="J1042">
        <v>1854</v>
      </c>
      <c r="K1042">
        <v>5</v>
      </c>
    </row>
    <row r="1043" spans="1:11">
      <c r="A1043" t="s">
        <v>1090</v>
      </c>
      <c r="B1043" t="s">
        <v>13</v>
      </c>
      <c r="C1043" t="s">
        <v>14</v>
      </c>
      <c r="D1043" t="s">
        <v>19</v>
      </c>
      <c r="E1043" s="1">
        <v>45024</v>
      </c>
      <c r="F1043" s="1">
        <v>45031</v>
      </c>
      <c r="G1043">
        <v>20.5</v>
      </c>
      <c r="H1043">
        <v>369.7</v>
      </c>
      <c r="I1043" t="s">
        <v>16</v>
      </c>
      <c r="J1043">
        <v>2249</v>
      </c>
      <c r="K1043">
        <v>7</v>
      </c>
    </row>
    <row r="1044" spans="1:11">
      <c r="A1044" t="s">
        <v>1091</v>
      </c>
      <c r="B1044" t="s">
        <v>28</v>
      </c>
      <c r="C1044" t="s">
        <v>55</v>
      </c>
      <c r="D1044" t="s">
        <v>26</v>
      </c>
      <c r="E1044" s="1">
        <v>45092</v>
      </c>
      <c r="F1044" s="1">
        <v>45100</v>
      </c>
      <c r="G1044">
        <v>16.399999999999999</v>
      </c>
      <c r="H1044">
        <v>264.86</v>
      </c>
      <c r="I1044" t="s">
        <v>48</v>
      </c>
      <c r="J1044">
        <v>1947</v>
      </c>
      <c r="K1044">
        <v>4</v>
      </c>
    </row>
    <row r="1045" spans="1:11">
      <c r="A1045" t="s">
        <v>1092</v>
      </c>
      <c r="B1045" t="s">
        <v>31</v>
      </c>
      <c r="C1045" t="s">
        <v>37</v>
      </c>
      <c r="D1045" t="s">
        <v>15</v>
      </c>
      <c r="E1045" s="1">
        <v>45290</v>
      </c>
      <c r="F1045" s="1">
        <v>45291</v>
      </c>
      <c r="G1045">
        <v>19.899999999999999</v>
      </c>
      <c r="H1045">
        <v>66.41</v>
      </c>
      <c r="I1045" t="s">
        <v>16</v>
      </c>
      <c r="J1045">
        <v>229</v>
      </c>
      <c r="K1045">
        <v>1</v>
      </c>
    </row>
    <row r="1046" spans="1:11">
      <c r="A1046" t="s">
        <v>1093</v>
      </c>
      <c r="B1046" t="s">
        <v>28</v>
      </c>
      <c r="C1046" t="s">
        <v>58</v>
      </c>
      <c r="D1046" t="s">
        <v>60</v>
      </c>
      <c r="E1046" s="1">
        <v>45011</v>
      </c>
      <c r="F1046" s="1">
        <v>45013</v>
      </c>
      <c r="G1046">
        <v>45.5</v>
      </c>
      <c r="H1046">
        <v>87.93</v>
      </c>
      <c r="I1046" t="s">
        <v>16</v>
      </c>
      <c r="J1046">
        <v>399</v>
      </c>
      <c r="K1046">
        <v>2</v>
      </c>
    </row>
    <row r="1047" spans="1:11">
      <c r="A1047" t="s">
        <v>1094</v>
      </c>
      <c r="B1047" t="s">
        <v>50</v>
      </c>
      <c r="C1047" t="s">
        <v>71</v>
      </c>
      <c r="D1047" t="s">
        <v>43</v>
      </c>
      <c r="E1047" s="1">
        <v>45161</v>
      </c>
      <c r="F1047" s="1">
        <v>45164</v>
      </c>
      <c r="G1047">
        <v>31.8</v>
      </c>
      <c r="H1047">
        <v>101.3</v>
      </c>
      <c r="I1047" t="s">
        <v>63</v>
      </c>
      <c r="J1047">
        <v>519</v>
      </c>
      <c r="K1047">
        <v>3</v>
      </c>
    </row>
    <row r="1048" spans="1:11">
      <c r="A1048" t="s">
        <v>1095</v>
      </c>
      <c r="B1048" t="s">
        <v>21</v>
      </c>
      <c r="C1048" t="s">
        <v>22</v>
      </c>
      <c r="D1048" t="s">
        <v>33</v>
      </c>
      <c r="E1048" s="1">
        <v>44977</v>
      </c>
      <c r="F1048" s="1">
        <v>44981</v>
      </c>
      <c r="G1048">
        <v>20.3</v>
      </c>
      <c r="H1048">
        <v>232.45</v>
      </c>
      <c r="I1048" t="s">
        <v>16</v>
      </c>
      <c r="J1048">
        <v>1505</v>
      </c>
      <c r="K1048">
        <v>4</v>
      </c>
    </row>
    <row r="1049" spans="1:11">
      <c r="A1049" t="s">
        <v>1096</v>
      </c>
      <c r="B1049" t="s">
        <v>50</v>
      </c>
      <c r="C1049" t="s">
        <v>82</v>
      </c>
      <c r="D1049" t="s">
        <v>15</v>
      </c>
      <c r="E1049" s="1">
        <v>45084</v>
      </c>
      <c r="F1049" s="1">
        <v>45089</v>
      </c>
      <c r="G1049">
        <v>34.299999999999997</v>
      </c>
      <c r="H1049">
        <v>295.73</v>
      </c>
      <c r="I1049" t="s">
        <v>16</v>
      </c>
      <c r="J1049">
        <v>2017</v>
      </c>
      <c r="K1049">
        <v>5</v>
      </c>
    </row>
    <row r="1050" spans="1:11">
      <c r="A1050" t="s">
        <v>1097</v>
      </c>
      <c r="B1050" t="s">
        <v>52</v>
      </c>
      <c r="C1050" t="s">
        <v>53</v>
      </c>
      <c r="D1050" t="s">
        <v>38</v>
      </c>
      <c r="E1050" s="1">
        <v>45027</v>
      </c>
      <c r="F1050" s="1">
        <v>45034</v>
      </c>
      <c r="G1050">
        <v>12.7</v>
      </c>
      <c r="H1050">
        <v>285.48</v>
      </c>
      <c r="I1050" t="s">
        <v>61</v>
      </c>
      <c r="J1050">
        <v>2264</v>
      </c>
      <c r="K1050">
        <v>7</v>
      </c>
    </row>
    <row r="1051" spans="1:11">
      <c r="A1051" t="s">
        <v>1098</v>
      </c>
      <c r="B1051" t="s">
        <v>28</v>
      </c>
      <c r="C1051" t="s">
        <v>14</v>
      </c>
      <c r="D1051" t="s">
        <v>60</v>
      </c>
      <c r="E1051" s="1">
        <v>45236</v>
      </c>
      <c r="F1051" s="1">
        <v>45241</v>
      </c>
      <c r="G1051">
        <v>53.3</v>
      </c>
      <c r="H1051">
        <v>343.47</v>
      </c>
      <c r="I1051" t="s">
        <v>16</v>
      </c>
      <c r="J1051">
        <v>2222</v>
      </c>
      <c r="K1051">
        <v>5</v>
      </c>
    </row>
    <row r="1052" spans="1:11">
      <c r="A1052" t="s">
        <v>1099</v>
      </c>
      <c r="B1052" t="s">
        <v>57</v>
      </c>
      <c r="C1052" t="s">
        <v>29</v>
      </c>
      <c r="D1052" t="s">
        <v>26</v>
      </c>
      <c r="E1052" s="1">
        <v>45203</v>
      </c>
      <c r="F1052" s="1">
        <v>45209</v>
      </c>
      <c r="G1052">
        <v>85.3</v>
      </c>
      <c r="H1052">
        <v>406.22</v>
      </c>
      <c r="I1052" t="s">
        <v>16</v>
      </c>
      <c r="J1052">
        <v>2470</v>
      </c>
      <c r="K1052">
        <v>6</v>
      </c>
    </row>
    <row r="1053" spans="1:11">
      <c r="A1053" t="s">
        <v>1100</v>
      </c>
      <c r="B1053" t="s">
        <v>28</v>
      </c>
      <c r="C1053" t="s">
        <v>82</v>
      </c>
      <c r="D1053" t="s">
        <v>19</v>
      </c>
      <c r="E1053" s="1">
        <v>45154</v>
      </c>
      <c r="F1053" s="1">
        <v>45158</v>
      </c>
      <c r="G1053">
        <v>18.100000000000001</v>
      </c>
      <c r="H1053">
        <v>205.49</v>
      </c>
      <c r="I1053" t="s">
        <v>16</v>
      </c>
      <c r="J1053">
        <v>1418</v>
      </c>
      <c r="K1053">
        <v>4</v>
      </c>
    </row>
    <row r="1054" spans="1:11">
      <c r="A1054" t="s">
        <v>1101</v>
      </c>
      <c r="B1054" t="s">
        <v>52</v>
      </c>
      <c r="C1054" t="s">
        <v>29</v>
      </c>
      <c r="D1054" t="s">
        <v>19</v>
      </c>
      <c r="E1054" s="1">
        <v>45154</v>
      </c>
      <c r="F1054" s="1">
        <v>45161</v>
      </c>
      <c r="G1054">
        <v>8.1999999999999993</v>
      </c>
      <c r="H1054">
        <v>257.45</v>
      </c>
      <c r="I1054" t="s">
        <v>16</v>
      </c>
      <c r="J1054">
        <v>1838</v>
      </c>
      <c r="K1054">
        <v>7</v>
      </c>
    </row>
    <row r="1055" spans="1:11">
      <c r="A1055" t="s">
        <v>1102</v>
      </c>
      <c r="B1055" t="s">
        <v>57</v>
      </c>
      <c r="C1055" t="s">
        <v>18</v>
      </c>
      <c r="D1055" t="s">
        <v>43</v>
      </c>
      <c r="E1055" s="1">
        <v>44940</v>
      </c>
      <c r="F1055" s="1">
        <v>44941</v>
      </c>
      <c r="G1055">
        <v>14.4</v>
      </c>
      <c r="H1055">
        <v>50.76</v>
      </c>
      <c r="I1055" t="s">
        <v>16</v>
      </c>
      <c r="J1055">
        <v>253</v>
      </c>
      <c r="K1055">
        <v>1</v>
      </c>
    </row>
    <row r="1056" spans="1:11">
      <c r="A1056" t="s">
        <v>1103</v>
      </c>
      <c r="B1056" t="s">
        <v>57</v>
      </c>
      <c r="C1056" t="s">
        <v>22</v>
      </c>
      <c r="D1056" t="s">
        <v>43</v>
      </c>
      <c r="E1056" s="1">
        <v>45283</v>
      </c>
      <c r="F1056" s="1">
        <v>45287</v>
      </c>
      <c r="G1056">
        <v>4.3</v>
      </c>
      <c r="H1056">
        <v>218.11</v>
      </c>
      <c r="I1056" t="s">
        <v>16</v>
      </c>
      <c r="J1056">
        <v>1565</v>
      </c>
      <c r="K1056">
        <v>4</v>
      </c>
    </row>
    <row r="1057" spans="1:11">
      <c r="A1057" t="s">
        <v>1104</v>
      </c>
      <c r="B1057" t="s">
        <v>31</v>
      </c>
      <c r="C1057" t="s">
        <v>18</v>
      </c>
      <c r="D1057" t="s">
        <v>26</v>
      </c>
      <c r="E1057" s="1">
        <v>45179</v>
      </c>
      <c r="F1057" s="1">
        <v>45183</v>
      </c>
      <c r="G1057">
        <v>57.1</v>
      </c>
      <c r="H1057">
        <v>259.94</v>
      </c>
      <c r="I1057" t="s">
        <v>16</v>
      </c>
      <c r="J1057">
        <v>1447</v>
      </c>
      <c r="K1057">
        <v>4</v>
      </c>
    </row>
    <row r="1058" spans="1:11">
      <c r="A1058" t="s">
        <v>1105</v>
      </c>
      <c r="B1058" t="s">
        <v>24</v>
      </c>
      <c r="C1058" t="s">
        <v>32</v>
      </c>
      <c r="D1058" t="s">
        <v>15</v>
      </c>
      <c r="E1058" s="1">
        <v>45143</v>
      </c>
      <c r="F1058" s="1">
        <v>45146</v>
      </c>
      <c r="G1058">
        <v>18</v>
      </c>
      <c r="H1058">
        <v>63.23</v>
      </c>
      <c r="I1058" t="s">
        <v>16</v>
      </c>
      <c r="J1058">
        <v>312</v>
      </c>
      <c r="K1058">
        <v>3</v>
      </c>
    </row>
    <row r="1059" spans="1:11">
      <c r="A1059" t="s">
        <v>1106</v>
      </c>
      <c r="B1059" t="s">
        <v>24</v>
      </c>
      <c r="C1059" t="s">
        <v>53</v>
      </c>
      <c r="D1059" t="s">
        <v>43</v>
      </c>
      <c r="E1059" s="1">
        <v>45125</v>
      </c>
      <c r="F1059" s="1">
        <v>45126</v>
      </c>
      <c r="G1059">
        <v>27.5</v>
      </c>
      <c r="H1059">
        <v>41.66</v>
      </c>
      <c r="I1059" t="s">
        <v>16</v>
      </c>
      <c r="J1059">
        <v>101</v>
      </c>
      <c r="K1059">
        <v>1</v>
      </c>
    </row>
    <row r="1060" spans="1:11">
      <c r="A1060" t="s">
        <v>1107</v>
      </c>
      <c r="B1060" t="s">
        <v>57</v>
      </c>
      <c r="C1060" t="s">
        <v>82</v>
      </c>
      <c r="D1060" t="s">
        <v>26</v>
      </c>
      <c r="E1060" s="1">
        <v>44943</v>
      </c>
      <c r="F1060" s="1">
        <v>44947</v>
      </c>
      <c r="G1060">
        <v>20.7</v>
      </c>
      <c r="H1060">
        <v>179.54</v>
      </c>
      <c r="I1060" t="s">
        <v>16</v>
      </c>
      <c r="J1060">
        <v>1413</v>
      </c>
      <c r="K1060">
        <v>4</v>
      </c>
    </row>
    <row r="1061" spans="1:11">
      <c r="A1061" t="s">
        <v>1108</v>
      </c>
      <c r="B1061" t="s">
        <v>40</v>
      </c>
      <c r="C1061" t="s">
        <v>25</v>
      </c>
      <c r="D1061" t="s">
        <v>33</v>
      </c>
      <c r="E1061" s="1">
        <v>45048</v>
      </c>
      <c r="F1061" s="1">
        <v>45052</v>
      </c>
      <c r="G1061">
        <v>14.5</v>
      </c>
      <c r="H1061">
        <v>88.92</v>
      </c>
      <c r="I1061" t="s">
        <v>16</v>
      </c>
      <c r="J1061">
        <v>581</v>
      </c>
      <c r="K1061">
        <v>4</v>
      </c>
    </row>
    <row r="1062" spans="1:11">
      <c r="A1062" t="s">
        <v>1109</v>
      </c>
      <c r="B1062" t="s">
        <v>52</v>
      </c>
      <c r="C1062" t="s">
        <v>22</v>
      </c>
      <c r="D1062" t="s">
        <v>19</v>
      </c>
      <c r="E1062" s="1">
        <v>45285</v>
      </c>
      <c r="F1062" s="1">
        <v>45294</v>
      </c>
      <c r="G1062">
        <v>9.3000000000000007</v>
      </c>
      <c r="H1062">
        <v>223.05</v>
      </c>
      <c r="I1062" t="s">
        <v>48</v>
      </c>
      <c r="J1062">
        <v>1331</v>
      </c>
      <c r="K1062">
        <v>3</v>
      </c>
    </row>
    <row r="1063" spans="1:11">
      <c r="A1063" t="s">
        <v>1110</v>
      </c>
      <c r="B1063" t="s">
        <v>28</v>
      </c>
      <c r="C1063" t="s">
        <v>29</v>
      </c>
      <c r="D1063" t="s">
        <v>15</v>
      </c>
      <c r="E1063" s="1">
        <v>44948</v>
      </c>
      <c r="F1063" s="1">
        <v>44953</v>
      </c>
      <c r="G1063">
        <v>10.3</v>
      </c>
      <c r="H1063">
        <v>237.92</v>
      </c>
      <c r="I1063" t="s">
        <v>16</v>
      </c>
      <c r="J1063">
        <v>1737</v>
      </c>
      <c r="K1063">
        <v>5</v>
      </c>
    </row>
    <row r="1064" spans="1:11">
      <c r="A1064" t="s">
        <v>1111</v>
      </c>
      <c r="B1064" t="s">
        <v>40</v>
      </c>
      <c r="C1064" t="s">
        <v>41</v>
      </c>
      <c r="D1064" t="s">
        <v>19</v>
      </c>
      <c r="E1064" s="1">
        <v>45056</v>
      </c>
      <c r="F1064" s="1">
        <v>45068</v>
      </c>
      <c r="G1064">
        <v>31.3</v>
      </c>
      <c r="H1064">
        <v>323.10000000000002</v>
      </c>
      <c r="I1064" t="s">
        <v>48</v>
      </c>
      <c r="J1064">
        <v>1873</v>
      </c>
      <c r="K1064">
        <v>5</v>
      </c>
    </row>
    <row r="1065" spans="1:11">
      <c r="A1065" t="s">
        <v>1112</v>
      </c>
      <c r="B1065" t="s">
        <v>13</v>
      </c>
      <c r="C1065" t="s">
        <v>82</v>
      </c>
      <c r="D1065" t="s">
        <v>43</v>
      </c>
      <c r="E1065" s="1">
        <v>45272</v>
      </c>
      <c r="F1065" s="1">
        <v>45275</v>
      </c>
      <c r="G1065">
        <v>14.3</v>
      </c>
      <c r="H1065">
        <v>88.88</v>
      </c>
      <c r="I1065" t="s">
        <v>16</v>
      </c>
      <c r="J1065">
        <v>489</v>
      </c>
      <c r="K1065">
        <v>3</v>
      </c>
    </row>
    <row r="1066" spans="1:11">
      <c r="A1066" t="s">
        <v>1113</v>
      </c>
      <c r="B1066" t="s">
        <v>31</v>
      </c>
      <c r="C1066" t="s">
        <v>55</v>
      </c>
      <c r="D1066" t="s">
        <v>43</v>
      </c>
      <c r="E1066" s="1">
        <v>45113</v>
      </c>
      <c r="F1066" s="1">
        <v>45119</v>
      </c>
      <c r="G1066">
        <v>42.3</v>
      </c>
      <c r="H1066">
        <v>297.39999999999998</v>
      </c>
      <c r="I1066" t="s">
        <v>16</v>
      </c>
      <c r="J1066">
        <v>2310</v>
      </c>
      <c r="K1066">
        <v>6</v>
      </c>
    </row>
    <row r="1067" spans="1:11">
      <c r="A1067" t="s">
        <v>1114</v>
      </c>
      <c r="B1067" t="s">
        <v>21</v>
      </c>
      <c r="C1067" t="s">
        <v>18</v>
      </c>
      <c r="D1067" t="s">
        <v>19</v>
      </c>
      <c r="E1067" s="1">
        <v>44930</v>
      </c>
      <c r="F1067" s="1">
        <v>44935</v>
      </c>
      <c r="G1067">
        <v>55.9</v>
      </c>
      <c r="H1067">
        <v>321.41000000000003</v>
      </c>
      <c r="I1067" t="s">
        <v>16</v>
      </c>
      <c r="J1067">
        <v>1931</v>
      </c>
      <c r="K1067">
        <v>5</v>
      </c>
    </row>
    <row r="1068" spans="1:11">
      <c r="A1068" t="s">
        <v>1115</v>
      </c>
      <c r="B1068" t="s">
        <v>36</v>
      </c>
      <c r="C1068" t="s">
        <v>37</v>
      </c>
      <c r="D1068" t="s">
        <v>38</v>
      </c>
      <c r="E1068" s="1">
        <v>45213</v>
      </c>
      <c r="F1068" s="1">
        <v>45216</v>
      </c>
      <c r="G1068">
        <v>8</v>
      </c>
      <c r="H1068">
        <v>33.03</v>
      </c>
      <c r="I1068" t="s">
        <v>16</v>
      </c>
      <c r="J1068">
        <v>207</v>
      </c>
      <c r="K1068">
        <v>3</v>
      </c>
    </row>
    <row r="1069" spans="1:11">
      <c r="A1069" t="s">
        <v>1116</v>
      </c>
      <c r="B1069" t="s">
        <v>24</v>
      </c>
      <c r="C1069" t="s">
        <v>82</v>
      </c>
      <c r="D1069" t="s">
        <v>15</v>
      </c>
      <c r="E1069" s="1">
        <v>45126</v>
      </c>
      <c r="F1069" s="1">
        <v>45139</v>
      </c>
      <c r="G1069">
        <v>25.9</v>
      </c>
      <c r="H1069">
        <v>323.47000000000003</v>
      </c>
      <c r="I1069" t="s">
        <v>48</v>
      </c>
      <c r="J1069">
        <v>2279</v>
      </c>
      <c r="K1069">
        <v>7</v>
      </c>
    </row>
    <row r="1070" spans="1:11">
      <c r="A1070" t="s">
        <v>1117</v>
      </c>
      <c r="B1070" t="s">
        <v>50</v>
      </c>
      <c r="C1070" t="s">
        <v>29</v>
      </c>
      <c r="D1070" t="s">
        <v>15</v>
      </c>
      <c r="E1070" s="1">
        <v>45050</v>
      </c>
      <c r="F1070" s="1">
        <v>45055</v>
      </c>
      <c r="G1070">
        <v>11.6</v>
      </c>
      <c r="H1070">
        <v>196.42</v>
      </c>
      <c r="I1070" t="s">
        <v>16</v>
      </c>
      <c r="J1070">
        <v>1463</v>
      </c>
      <c r="K1070">
        <v>5</v>
      </c>
    </row>
    <row r="1071" spans="1:11">
      <c r="A1071" t="s">
        <v>1118</v>
      </c>
      <c r="B1071" t="s">
        <v>36</v>
      </c>
      <c r="C1071" t="s">
        <v>37</v>
      </c>
      <c r="D1071" t="s">
        <v>38</v>
      </c>
      <c r="E1071" s="1">
        <v>45109</v>
      </c>
      <c r="F1071" s="1">
        <v>45111</v>
      </c>
      <c r="G1071">
        <v>20.2</v>
      </c>
      <c r="H1071">
        <v>129.06</v>
      </c>
      <c r="I1071" t="s">
        <v>16</v>
      </c>
      <c r="J1071">
        <v>780</v>
      </c>
      <c r="K1071">
        <v>2</v>
      </c>
    </row>
    <row r="1072" spans="1:11">
      <c r="A1072" t="s">
        <v>1119</v>
      </c>
      <c r="B1072" t="s">
        <v>31</v>
      </c>
      <c r="C1072" t="s">
        <v>58</v>
      </c>
      <c r="D1072" t="s">
        <v>33</v>
      </c>
      <c r="E1072" s="1">
        <v>45055</v>
      </c>
      <c r="F1072" s="1">
        <v>45057</v>
      </c>
      <c r="G1072">
        <v>21.9</v>
      </c>
      <c r="H1072">
        <v>101.98</v>
      </c>
      <c r="I1072" t="s">
        <v>16</v>
      </c>
      <c r="J1072">
        <v>506</v>
      </c>
      <c r="K1072">
        <v>2</v>
      </c>
    </row>
    <row r="1073" spans="1:11">
      <c r="A1073" t="s">
        <v>1120</v>
      </c>
      <c r="B1073" t="s">
        <v>57</v>
      </c>
      <c r="C1073" t="s">
        <v>29</v>
      </c>
      <c r="D1073" t="s">
        <v>38</v>
      </c>
      <c r="E1073" s="1">
        <v>44946</v>
      </c>
      <c r="F1073" s="1">
        <v>44955</v>
      </c>
      <c r="G1073">
        <v>10.3</v>
      </c>
      <c r="H1073">
        <v>310.92</v>
      </c>
      <c r="I1073" t="s">
        <v>16</v>
      </c>
      <c r="J1073">
        <v>2349</v>
      </c>
      <c r="K1073">
        <v>9</v>
      </c>
    </row>
    <row r="1074" spans="1:11">
      <c r="A1074" t="s">
        <v>1121</v>
      </c>
      <c r="B1074" t="s">
        <v>31</v>
      </c>
      <c r="C1074" t="s">
        <v>32</v>
      </c>
      <c r="D1074" t="s">
        <v>43</v>
      </c>
      <c r="E1074" s="1">
        <v>45265</v>
      </c>
      <c r="F1074" s="1">
        <v>45267</v>
      </c>
      <c r="G1074">
        <v>7</v>
      </c>
      <c r="H1074">
        <v>114.15</v>
      </c>
      <c r="I1074" t="s">
        <v>16</v>
      </c>
      <c r="J1074">
        <v>704</v>
      </c>
      <c r="K1074">
        <v>2</v>
      </c>
    </row>
    <row r="1075" spans="1:11">
      <c r="A1075" t="s">
        <v>1122</v>
      </c>
      <c r="B1075" t="s">
        <v>52</v>
      </c>
      <c r="C1075" t="s">
        <v>37</v>
      </c>
      <c r="D1075" t="s">
        <v>60</v>
      </c>
      <c r="E1075" s="1">
        <v>45200</v>
      </c>
      <c r="F1075" s="1">
        <v>45206</v>
      </c>
      <c r="G1075">
        <v>37.4</v>
      </c>
      <c r="H1075">
        <v>165.48</v>
      </c>
      <c r="I1075" t="s">
        <v>16</v>
      </c>
      <c r="J1075">
        <v>1209</v>
      </c>
      <c r="K1075">
        <v>6</v>
      </c>
    </row>
    <row r="1076" spans="1:11">
      <c r="A1076" t="s">
        <v>1123</v>
      </c>
      <c r="B1076" t="s">
        <v>36</v>
      </c>
      <c r="C1076" t="s">
        <v>55</v>
      </c>
      <c r="D1076" t="s">
        <v>38</v>
      </c>
      <c r="E1076" s="1">
        <v>45161</v>
      </c>
      <c r="F1076" s="1">
        <v>45165</v>
      </c>
      <c r="G1076">
        <v>13.9</v>
      </c>
      <c r="H1076">
        <v>163.87</v>
      </c>
      <c r="I1076" t="s">
        <v>16</v>
      </c>
      <c r="J1076">
        <v>1350</v>
      </c>
      <c r="K1076">
        <v>4</v>
      </c>
    </row>
    <row r="1077" spans="1:11">
      <c r="A1077" t="s">
        <v>1124</v>
      </c>
      <c r="B1077" t="s">
        <v>21</v>
      </c>
      <c r="C1077" t="s">
        <v>47</v>
      </c>
      <c r="D1077" t="s">
        <v>38</v>
      </c>
      <c r="E1077" s="1">
        <v>45214</v>
      </c>
      <c r="F1077" s="1">
        <v>45220</v>
      </c>
      <c r="G1077">
        <v>6</v>
      </c>
      <c r="H1077">
        <v>162.4</v>
      </c>
      <c r="I1077" t="s">
        <v>16</v>
      </c>
      <c r="J1077">
        <v>1231</v>
      </c>
      <c r="K1077">
        <v>6</v>
      </c>
    </row>
    <row r="1078" spans="1:11">
      <c r="A1078" t="s">
        <v>1125</v>
      </c>
      <c r="B1078" t="s">
        <v>52</v>
      </c>
      <c r="C1078" t="s">
        <v>29</v>
      </c>
      <c r="D1078" t="s">
        <v>26</v>
      </c>
      <c r="E1078" s="1">
        <v>45033</v>
      </c>
      <c r="F1078" s="1">
        <v>45035</v>
      </c>
      <c r="G1078">
        <v>32.4</v>
      </c>
      <c r="H1078">
        <v>81.150000000000006</v>
      </c>
      <c r="I1078" t="s">
        <v>16</v>
      </c>
      <c r="J1078">
        <v>415</v>
      </c>
      <c r="K1078">
        <v>2</v>
      </c>
    </row>
    <row r="1079" spans="1:11">
      <c r="A1079" t="s">
        <v>1126</v>
      </c>
      <c r="B1079" t="s">
        <v>31</v>
      </c>
      <c r="C1079" t="s">
        <v>53</v>
      </c>
      <c r="D1079" t="s">
        <v>60</v>
      </c>
      <c r="E1079" s="1">
        <v>45077</v>
      </c>
      <c r="F1079" s="1">
        <v>45079</v>
      </c>
      <c r="G1079">
        <v>21.1</v>
      </c>
      <c r="H1079">
        <v>49.8</v>
      </c>
      <c r="I1079" t="s">
        <v>16</v>
      </c>
      <c r="J1079">
        <v>270</v>
      </c>
      <c r="K1079">
        <v>2</v>
      </c>
    </row>
    <row r="1080" spans="1:11">
      <c r="A1080" t="s">
        <v>1127</v>
      </c>
      <c r="B1080" t="s">
        <v>31</v>
      </c>
      <c r="C1080" t="s">
        <v>22</v>
      </c>
      <c r="D1080" t="s">
        <v>38</v>
      </c>
      <c r="E1080" s="1">
        <v>45112</v>
      </c>
      <c r="F1080" s="1">
        <v>45117</v>
      </c>
      <c r="G1080">
        <v>66.5</v>
      </c>
      <c r="H1080">
        <v>94.15</v>
      </c>
      <c r="I1080" t="s">
        <v>16</v>
      </c>
      <c r="J1080">
        <v>155</v>
      </c>
      <c r="K1080">
        <v>5</v>
      </c>
    </row>
    <row r="1081" spans="1:11">
      <c r="A1081" t="s">
        <v>1128</v>
      </c>
      <c r="B1081" t="s">
        <v>52</v>
      </c>
      <c r="C1081" t="s">
        <v>41</v>
      </c>
      <c r="D1081" t="s">
        <v>15</v>
      </c>
      <c r="E1081" s="1">
        <v>45275</v>
      </c>
      <c r="F1081" s="1">
        <v>45281</v>
      </c>
      <c r="G1081">
        <v>19.5</v>
      </c>
      <c r="H1081">
        <v>354.28</v>
      </c>
      <c r="I1081" t="s">
        <v>16</v>
      </c>
      <c r="J1081">
        <v>2393</v>
      </c>
      <c r="K1081">
        <v>6</v>
      </c>
    </row>
    <row r="1082" spans="1:11">
      <c r="A1082" t="s">
        <v>1129</v>
      </c>
      <c r="B1082" t="s">
        <v>40</v>
      </c>
      <c r="C1082" t="s">
        <v>29</v>
      </c>
      <c r="D1082" t="s">
        <v>15</v>
      </c>
      <c r="E1082" s="1">
        <v>45208</v>
      </c>
      <c r="F1082" s="1">
        <v>45213</v>
      </c>
      <c r="G1082">
        <v>7.6</v>
      </c>
      <c r="H1082">
        <v>108.9</v>
      </c>
      <c r="I1082" t="s">
        <v>16</v>
      </c>
      <c r="J1082">
        <v>772</v>
      </c>
      <c r="K1082">
        <v>5</v>
      </c>
    </row>
    <row r="1083" spans="1:11">
      <c r="A1083" t="s">
        <v>1130</v>
      </c>
      <c r="B1083" t="s">
        <v>36</v>
      </c>
      <c r="C1083" t="s">
        <v>55</v>
      </c>
      <c r="D1083" t="s">
        <v>38</v>
      </c>
      <c r="E1083" s="1">
        <v>45130</v>
      </c>
      <c r="F1083" s="1">
        <v>45133</v>
      </c>
      <c r="G1083">
        <v>84.6</v>
      </c>
      <c r="H1083">
        <v>260.77999999999997</v>
      </c>
      <c r="I1083" t="s">
        <v>63</v>
      </c>
      <c r="J1083">
        <v>1350</v>
      </c>
      <c r="K1083">
        <v>3</v>
      </c>
    </row>
    <row r="1084" spans="1:11">
      <c r="A1084" t="s">
        <v>1131</v>
      </c>
      <c r="B1084" t="s">
        <v>57</v>
      </c>
      <c r="C1084" t="s">
        <v>14</v>
      </c>
      <c r="D1084" t="s">
        <v>19</v>
      </c>
      <c r="E1084" s="1">
        <v>45174</v>
      </c>
      <c r="F1084" s="1">
        <v>45185</v>
      </c>
      <c r="G1084">
        <v>26.7</v>
      </c>
      <c r="H1084">
        <v>243.13</v>
      </c>
      <c r="I1084" t="s">
        <v>48</v>
      </c>
      <c r="J1084">
        <v>1505</v>
      </c>
      <c r="K1084">
        <v>5</v>
      </c>
    </row>
    <row r="1085" spans="1:11">
      <c r="A1085" t="s">
        <v>1132</v>
      </c>
      <c r="B1085" t="s">
        <v>28</v>
      </c>
      <c r="C1085" t="s">
        <v>37</v>
      </c>
      <c r="D1085" t="s">
        <v>38</v>
      </c>
      <c r="E1085" s="1">
        <v>45106</v>
      </c>
      <c r="F1085" s="1">
        <v>45108</v>
      </c>
      <c r="G1085">
        <v>22.6</v>
      </c>
      <c r="H1085">
        <v>115.12</v>
      </c>
      <c r="I1085" t="s">
        <v>16</v>
      </c>
      <c r="J1085">
        <v>719</v>
      </c>
      <c r="K1085">
        <v>2</v>
      </c>
    </row>
    <row r="1086" spans="1:11">
      <c r="A1086" t="s">
        <v>1133</v>
      </c>
      <c r="B1086" t="s">
        <v>57</v>
      </c>
      <c r="C1086" t="s">
        <v>53</v>
      </c>
      <c r="D1086" t="s">
        <v>33</v>
      </c>
      <c r="E1086" s="1">
        <v>45278</v>
      </c>
      <c r="F1086" s="1">
        <v>45281</v>
      </c>
      <c r="G1086">
        <v>31</v>
      </c>
      <c r="H1086">
        <v>227.94</v>
      </c>
      <c r="I1086" t="s">
        <v>16</v>
      </c>
      <c r="J1086">
        <v>1045</v>
      </c>
      <c r="K1086">
        <v>3</v>
      </c>
    </row>
    <row r="1087" spans="1:11">
      <c r="A1087" t="s">
        <v>1134</v>
      </c>
      <c r="B1087" t="s">
        <v>28</v>
      </c>
      <c r="C1087" t="s">
        <v>18</v>
      </c>
      <c r="D1087" t="s">
        <v>33</v>
      </c>
      <c r="E1087" s="1">
        <v>45216</v>
      </c>
      <c r="F1087" s="1">
        <v>45220</v>
      </c>
      <c r="G1087">
        <v>22.9</v>
      </c>
      <c r="H1087">
        <v>178.45</v>
      </c>
      <c r="I1087" t="s">
        <v>16</v>
      </c>
      <c r="J1087">
        <v>1185</v>
      </c>
      <c r="K1087">
        <v>4</v>
      </c>
    </row>
    <row r="1088" spans="1:11">
      <c r="A1088" t="s">
        <v>1135</v>
      </c>
      <c r="B1088" t="s">
        <v>31</v>
      </c>
      <c r="C1088" t="s">
        <v>47</v>
      </c>
      <c r="D1088" t="s">
        <v>15</v>
      </c>
      <c r="E1088" s="1">
        <v>45180</v>
      </c>
      <c r="F1088" s="1">
        <v>45186</v>
      </c>
      <c r="G1088">
        <v>41.5</v>
      </c>
      <c r="H1088">
        <v>338.34</v>
      </c>
      <c r="I1088" t="s">
        <v>16</v>
      </c>
      <c r="J1088">
        <v>2120</v>
      </c>
      <c r="K1088">
        <v>6</v>
      </c>
    </row>
    <row r="1089" spans="1:11">
      <c r="A1089" t="s">
        <v>1136</v>
      </c>
      <c r="B1089" t="s">
        <v>24</v>
      </c>
      <c r="C1089" t="s">
        <v>37</v>
      </c>
      <c r="D1089" t="s">
        <v>26</v>
      </c>
      <c r="E1089" s="1">
        <v>45237</v>
      </c>
      <c r="F1089" s="1">
        <v>45242</v>
      </c>
      <c r="G1089">
        <v>40</v>
      </c>
      <c r="H1089">
        <v>437.26</v>
      </c>
      <c r="I1089" t="s">
        <v>16</v>
      </c>
      <c r="J1089">
        <v>2431</v>
      </c>
      <c r="K1089">
        <v>5</v>
      </c>
    </row>
    <row r="1090" spans="1:11">
      <c r="A1090" t="s">
        <v>1137</v>
      </c>
      <c r="B1090" t="s">
        <v>24</v>
      </c>
      <c r="C1090" t="s">
        <v>32</v>
      </c>
      <c r="D1090" t="s">
        <v>19</v>
      </c>
      <c r="E1090" s="1">
        <v>45223</v>
      </c>
      <c r="F1090" s="1">
        <v>45225</v>
      </c>
      <c r="G1090">
        <v>3.5</v>
      </c>
      <c r="H1090">
        <v>105.56</v>
      </c>
      <c r="I1090" t="s">
        <v>16</v>
      </c>
      <c r="J1090">
        <v>799</v>
      </c>
      <c r="K1090">
        <v>2</v>
      </c>
    </row>
    <row r="1091" spans="1:11">
      <c r="A1091" t="s">
        <v>1138</v>
      </c>
      <c r="B1091" t="s">
        <v>21</v>
      </c>
      <c r="C1091" t="s">
        <v>41</v>
      </c>
      <c r="D1091" t="s">
        <v>43</v>
      </c>
      <c r="E1091" s="1">
        <v>45227</v>
      </c>
      <c r="F1091" s="1">
        <v>45230</v>
      </c>
      <c r="G1091">
        <v>70.400000000000006</v>
      </c>
      <c r="H1091">
        <v>166.43</v>
      </c>
      <c r="I1091" t="s">
        <v>16</v>
      </c>
      <c r="J1091">
        <v>795</v>
      </c>
      <c r="K1091">
        <v>3</v>
      </c>
    </row>
    <row r="1092" spans="1:11">
      <c r="A1092" t="s">
        <v>1139</v>
      </c>
      <c r="B1092" t="s">
        <v>21</v>
      </c>
      <c r="C1092" t="s">
        <v>41</v>
      </c>
      <c r="D1092" t="s">
        <v>19</v>
      </c>
      <c r="E1092" s="1">
        <v>45282</v>
      </c>
      <c r="F1092" s="1">
        <v>45285</v>
      </c>
      <c r="G1092">
        <v>17.5</v>
      </c>
      <c r="H1092">
        <v>100.77</v>
      </c>
      <c r="I1092" t="s">
        <v>16</v>
      </c>
      <c r="J1092">
        <v>427</v>
      </c>
      <c r="K1092">
        <v>3</v>
      </c>
    </row>
    <row r="1093" spans="1:11">
      <c r="A1093" t="s">
        <v>1140</v>
      </c>
      <c r="B1093" t="s">
        <v>28</v>
      </c>
      <c r="C1093" t="s">
        <v>18</v>
      </c>
      <c r="D1093" t="s">
        <v>43</v>
      </c>
      <c r="E1093" s="1">
        <v>45133</v>
      </c>
      <c r="F1093" s="1">
        <v>45145</v>
      </c>
      <c r="G1093">
        <v>15.5</v>
      </c>
      <c r="H1093">
        <v>130.66999999999999</v>
      </c>
      <c r="I1093" t="s">
        <v>48</v>
      </c>
      <c r="J1093">
        <v>1035</v>
      </c>
      <c r="K1093">
        <v>3</v>
      </c>
    </row>
    <row r="1094" spans="1:11">
      <c r="A1094" t="s">
        <v>1141</v>
      </c>
      <c r="B1094" t="s">
        <v>52</v>
      </c>
      <c r="C1094" t="s">
        <v>37</v>
      </c>
      <c r="D1094" t="s">
        <v>19</v>
      </c>
      <c r="E1094" s="1">
        <v>45136</v>
      </c>
      <c r="F1094" s="1">
        <v>45140</v>
      </c>
      <c r="G1094">
        <v>26.5</v>
      </c>
      <c r="H1094">
        <v>292.13</v>
      </c>
      <c r="I1094" t="s">
        <v>16</v>
      </c>
      <c r="J1094">
        <v>1670</v>
      </c>
      <c r="K1094">
        <v>4</v>
      </c>
    </row>
    <row r="1095" spans="1:11">
      <c r="A1095" t="s">
        <v>1142</v>
      </c>
      <c r="B1095" t="s">
        <v>24</v>
      </c>
      <c r="C1095" t="s">
        <v>37</v>
      </c>
      <c r="D1095" t="s">
        <v>38</v>
      </c>
      <c r="E1095" s="1">
        <v>45049</v>
      </c>
      <c r="F1095" s="1">
        <v>45061</v>
      </c>
      <c r="G1095">
        <v>7.7</v>
      </c>
      <c r="H1095">
        <v>226.92</v>
      </c>
      <c r="I1095" t="s">
        <v>16</v>
      </c>
      <c r="J1095">
        <v>1895</v>
      </c>
      <c r="K1095">
        <v>12</v>
      </c>
    </row>
    <row r="1096" spans="1:11">
      <c r="A1096" t="s">
        <v>1143</v>
      </c>
      <c r="B1096" t="s">
        <v>31</v>
      </c>
      <c r="C1096" t="s">
        <v>55</v>
      </c>
      <c r="D1096" t="s">
        <v>38</v>
      </c>
      <c r="E1096" s="1">
        <v>45070</v>
      </c>
      <c r="F1096" s="1">
        <v>45074</v>
      </c>
      <c r="G1096">
        <v>31.7</v>
      </c>
      <c r="H1096">
        <v>134.57</v>
      </c>
      <c r="I1096" t="s">
        <v>16</v>
      </c>
      <c r="J1096">
        <v>862</v>
      </c>
      <c r="K1096">
        <v>4</v>
      </c>
    </row>
    <row r="1097" spans="1:11">
      <c r="A1097" t="s">
        <v>1144</v>
      </c>
      <c r="B1097" t="s">
        <v>28</v>
      </c>
      <c r="C1097" t="s">
        <v>32</v>
      </c>
      <c r="D1097" t="s">
        <v>19</v>
      </c>
      <c r="E1097" s="1">
        <v>45070</v>
      </c>
      <c r="F1097" s="1">
        <v>45074</v>
      </c>
      <c r="G1097">
        <v>15.3</v>
      </c>
      <c r="H1097">
        <v>271.25</v>
      </c>
      <c r="I1097" t="s">
        <v>16</v>
      </c>
      <c r="J1097">
        <v>1709</v>
      </c>
      <c r="K1097">
        <v>4</v>
      </c>
    </row>
    <row r="1098" spans="1:11">
      <c r="A1098" t="s">
        <v>1145</v>
      </c>
      <c r="B1098" t="s">
        <v>52</v>
      </c>
      <c r="C1098" t="s">
        <v>53</v>
      </c>
      <c r="D1098" t="s">
        <v>33</v>
      </c>
      <c r="E1098" s="1">
        <v>45061</v>
      </c>
      <c r="F1098" s="1">
        <v>45067</v>
      </c>
      <c r="G1098">
        <v>7.1</v>
      </c>
      <c r="H1098">
        <v>304.95999999999998</v>
      </c>
      <c r="I1098" t="s">
        <v>16</v>
      </c>
      <c r="J1098">
        <v>2397</v>
      </c>
      <c r="K1098">
        <v>6</v>
      </c>
    </row>
    <row r="1099" spans="1:11">
      <c r="A1099" t="s">
        <v>1146</v>
      </c>
      <c r="B1099" t="s">
        <v>40</v>
      </c>
      <c r="C1099" t="s">
        <v>37</v>
      </c>
      <c r="D1099" t="s">
        <v>33</v>
      </c>
      <c r="E1099" s="1">
        <v>44937</v>
      </c>
      <c r="F1099" s="1">
        <v>44943</v>
      </c>
      <c r="G1099">
        <v>90.3</v>
      </c>
      <c r="H1099">
        <v>248.01</v>
      </c>
      <c r="I1099" t="s">
        <v>16</v>
      </c>
      <c r="J1099">
        <v>1076</v>
      </c>
      <c r="K1099">
        <v>6</v>
      </c>
    </row>
    <row r="1100" spans="1:11">
      <c r="A1100" t="s">
        <v>1147</v>
      </c>
      <c r="B1100" t="s">
        <v>21</v>
      </c>
      <c r="C1100" t="s">
        <v>14</v>
      </c>
      <c r="D1100" t="s">
        <v>43</v>
      </c>
      <c r="E1100" s="1">
        <v>45016</v>
      </c>
      <c r="F1100" s="1">
        <v>45020</v>
      </c>
      <c r="G1100">
        <v>30.3</v>
      </c>
      <c r="H1100">
        <v>127.04</v>
      </c>
      <c r="I1100" t="s">
        <v>16</v>
      </c>
      <c r="J1100">
        <v>862</v>
      </c>
      <c r="K1100">
        <v>4</v>
      </c>
    </row>
    <row r="1101" spans="1:11">
      <c r="A1101" t="s">
        <v>1148</v>
      </c>
      <c r="B1101" t="s">
        <v>57</v>
      </c>
      <c r="C1101" t="s">
        <v>18</v>
      </c>
      <c r="D1101" t="s">
        <v>26</v>
      </c>
      <c r="E1101" s="1">
        <v>45224</v>
      </c>
      <c r="F1101" s="1">
        <v>45230</v>
      </c>
      <c r="G1101">
        <v>12.6</v>
      </c>
      <c r="H1101">
        <v>158.56</v>
      </c>
      <c r="I1101" t="s">
        <v>16</v>
      </c>
      <c r="J1101">
        <v>1256</v>
      </c>
      <c r="K1101">
        <v>6</v>
      </c>
    </row>
    <row r="1102" spans="1:11">
      <c r="A1102" t="s">
        <v>1149</v>
      </c>
      <c r="B1102" t="s">
        <v>52</v>
      </c>
      <c r="C1102" t="s">
        <v>55</v>
      </c>
      <c r="D1102" t="s">
        <v>33</v>
      </c>
      <c r="E1102" s="1">
        <v>45178</v>
      </c>
      <c r="F1102" s="1">
        <v>45182</v>
      </c>
      <c r="G1102">
        <v>15</v>
      </c>
      <c r="H1102">
        <v>185.82</v>
      </c>
      <c r="I1102" t="s">
        <v>16</v>
      </c>
      <c r="J1102">
        <v>1368</v>
      </c>
      <c r="K1102">
        <v>4</v>
      </c>
    </row>
    <row r="1103" spans="1:11">
      <c r="A1103" t="s">
        <v>1150</v>
      </c>
      <c r="B1103" t="s">
        <v>36</v>
      </c>
      <c r="C1103" t="s">
        <v>55</v>
      </c>
      <c r="D1103" t="s">
        <v>26</v>
      </c>
      <c r="E1103" s="1">
        <v>44928</v>
      </c>
      <c r="F1103" s="1">
        <v>44946</v>
      </c>
      <c r="G1103">
        <v>57.4</v>
      </c>
      <c r="H1103">
        <v>222.36</v>
      </c>
      <c r="I1103" t="s">
        <v>48</v>
      </c>
      <c r="J1103">
        <v>1350</v>
      </c>
      <c r="K1103">
        <v>5</v>
      </c>
    </row>
    <row r="1104" spans="1:11">
      <c r="A1104" t="s">
        <v>1151</v>
      </c>
      <c r="B1104" t="s">
        <v>31</v>
      </c>
      <c r="C1104" t="s">
        <v>22</v>
      </c>
      <c r="D1104" t="s">
        <v>15</v>
      </c>
      <c r="E1104" s="1">
        <v>45252</v>
      </c>
      <c r="F1104" s="1">
        <v>45257</v>
      </c>
      <c r="G1104">
        <v>61.5</v>
      </c>
      <c r="H1104">
        <v>383.67</v>
      </c>
      <c r="I1104" t="s">
        <v>16</v>
      </c>
      <c r="J1104">
        <v>1976</v>
      </c>
      <c r="K1104">
        <v>5</v>
      </c>
    </row>
    <row r="1105" spans="1:11">
      <c r="A1105" t="s">
        <v>1152</v>
      </c>
      <c r="B1105" t="s">
        <v>21</v>
      </c>
      <c r="C1105" t="s">
        <v>14</v>
      </c>
      <c r="D1105" t="s">
        <v>33</v>
      </c>
      <c r="E1105" s="1">
        <v>45156</v>
      </c>
      <c r="F1105" s="1">
        <v>45162</v>
      </c>
      <c r="G1105">
        <v>7.7</v>
      </c>
      <c r="H1105">
        <v>49.02</v>
      </c>
      <c r="I1105" t="s">
        <v>63</v>
      </c>
      <c r="J1105">
        <v>313</v>
      </c>
      <c r="K1105">
        <v>6</v>
      </c>
    </row>
    <row r="1106" spans="1:11">
      <c r="A1106" t="s">
        <v>1153</v>
      </c>
      <c r="B1106" t="s">
        <v>40</v>
      </c>
      <c r="C1106" t="s">
        <v>82</v>
      </c>
      <c r="D1106" t="s">
        <v>33</v>
      </c>
      <c r="E1106" s="1">
        <v>45262</v>
      </c>
      <c r="F1106" s="1">
        <v>45265</v>
      </c>
      <c r="G1106">
        <v>53.7</v>
      </c>
      <c r="H1106">
        <v>255.13</v>
      </c>
      <c r="I1106" t="s">
        <v>16</v>
      </c>
      <c r="J1106">
        <v>1030</v>
      </c>
      <c r="K1106">
        <v>3</v>
      </c>
    </row>
    <row r="1107" spans="1:11">
      <c r="A1107" t="s">
        <v>1154</v>
      </c>
      <c r="B1107" t="s">
        <v>21</v>
      </c>
      <c r="C1107" t="s">
        <v>14</v>
      </c>
      <c r="D1107" t="s">
        <v>43</v>
      </c>
      <c r="E1107" s="1">
        <v>45141</v>
      </c>
      <c r="F1107" s="1">
        <v>45148</v>
      </c>
      <c r="G1107">
        <v>54.6</v>
      </c>
      <c r="H1107">
        <v>6562.21</v>
      </c>
      <c r="I1107" t="s">
        <v>16</v>
      </c>
      <c r="J1107">
        <v>1942</v>
      </c>
      <c r="K1107">
        <v>7</v>
      </c>
    </row>
    <row r="1108" spans="1:11">
      <c r="A1108" t="s">
        <v>1155</v>
      </c>
      <c r="B1108" t="s">
        <v>57</v>
      </c>
      <c r="C1108" t="s">
        <v>14</v>
      </c>
      <c r="D1108" t="s">
        <v>15</v>
      </c>
      <c r="E1108" s="1">
        <v>44997</v>
      </c>
      <c r="F1108" s="1">
        <v>45000</v>
      </c>
      <c r="G1108">
        <v>19</v>
      </c>
      <c r="H1108">
        <v>180.68</v>
      </c>
      <c r="I1108" t="s">
        <v>16</v>
      </c>
      <c r="J1108">
        <v>1291</v>
      </c>
      <c r="K1108">
        <v>3</v>
      </c>
    </row>
    <row r="1109" spans="1:11">
      <c r="A1109" t="s">
        <v>1156</v>
      </c>
      <c r="B1109" t="s">
        <v>50</v>
      </c>
      <c r="C1109" t="s">
        <v>37</v>
      </c>
      <c r="D1109" t="s">
        <v>33</v>
      </c>
      <c r="E1109" s="1">
        <v>45255</v>
      </c>
      <c r="F1109" s="1">
        <v>45264</v>
      </c>
      <c r="G1109">
        <v>12.6</v>
      </c>
      <c r="H1109">
        <v>291.61</v>
      </c>
      <c r="I1109" t="s">
        <v>48</v>
      </c>
      <c r="J1109">
        <v>1899</v>
      </c>
      <c r="K1109">
        <v>5</v>
      </c>
    </row>
    <row r="1110" spans="1:11">
      <c r="A1110" t="s">
        <v>1157</v>
      </c>
      <c r="B1110" t="s">
        <v>24</v>
      </c>
      <c r="C1110" t="s">
        <v>55</v>
      </c>
      <c r="D1110" t="s">
        <v>15</v>
      </c>
      <c r="E1110" s="1">
        <v>45103</v>
      </c>
      <c r="F1110" s="1">
        <v>45108</v>
      </c>
      <c r="G1110">
        <v>54.3</v>
      </c>
      <c r="H1110">
        <v>314.48</v>
      </c>
      <c r="I1110" t="s">
        <v>16</v>
      </c>
      <c r="J1110">
        <v>1853</v>
      </c>
      <c r="K1110">
        <v>5</v>
      </c>
    </row>
    <row r="1111" spans="1:11">
      <c r="A1111" t="s">
        <v>1158</v>
      </c>
      <c r="B1111" t="s">
        <v>21</v>
      </c>
      <c r="C1111" t="s">
        <v>29</v>
      </c>
      <c r="D1111" t="s">
        <v>19</v>
      </c>
      <c r="E1111" s="1">
        <v>44934</v>
      </c>
      <c r="F1111" s="1">
        <v>44937</v>
      </c>
      <c r="G1111">
        <v>11.8</v>
      </c>
      <c r="H1111">
        <v>193.89</v>
      </c>
      <c r="I1111" t="s">
        <v>16</v>
      </c>
      <c r="J1111">
        <v>1435</v>
      </c>
      <c r="K1111">
        <v>3</v>
      </c>
    </row>
    <row r="1112" spans="1:11">
      <c r="A1112" t="s">
        <v>1159</v>
      </c>
      <c r="B1112" t="s">
        <v>52</v>
      </c>
      <c r="C1112" t="s">
        <v>37</v>
      </c>
      <c r="D1112" t="s">
        <v>33</v>
      </c>
      <c r="E1112" s="1">
        <v>45139</v>
      </c>
      <c r="F1112" s="1">
        <v>45145</v>
      </c>
      <c r="G1112">
        <v>22.9</v>
      </c>
      <c r="H1112">
        <v>358.05</v>
      </c>
      <c r="I1112" t="s">
        <v>16</v>
      </c>
      <c r="J1112">
        <v>2443</v>
      </c>
      <c r="K1112">
        <v>6</v>
      </c>
    </row>
    <row r="1113" spans="1:11">
      <c r="A1113" t="s">
        <v>1160</v>
      </c>
      <c r="B1113" t="s">
        <v>50</v>
      </c>
      <c r="C1113" t="s">
        <v>14</v>
      </c>
      <c r="D1113" t="s">
        <v>60</v>
      </c>
      <c r="E1113" s="1">
        <v>44965</v>
      </c>
      <c r="F1113" s="1">
        <v>44967</v>
      </c>
      <c r="G1113">
        <v>24.1</v>
      </c>
      <c r="H1113">
        <v>80.77</v>
      </c>
      <c r="I1113" t="s">
        <v>16</v>
      </c>
      <c r="J1113">
        <v>531</v>
      </c>
      <c r="K1113">
        <v>2</v>
      </c>
    </row>
    <row r="1114" spans="1:11">
      <c r="A1114" t="s">
        <v>1161</v>
      </c>
      <c r="B1114" t="s">
        <v>40</v>
      </c>
      <c r="C1114" t="s">
        <v>22</v>
      </c>
      <c r="D1114" t="s">
        <v>60</v>
      </c>
      <c r="E1114" s="1">
        <v>45076</v>
      </c>
      <c r="F1114" s="1">
        <v>45077</v>
      </c>
      <c r="G1114">
        <v>24.2</v>
      </c>
      <c r="H1114">
        <v>44.49</v>
      </c>
      <c r="I1114" t="s">
        <v>16</v>
      </c>
      <c r="J1114">
        <v>134</v>
      </c>
      <c r="K1114">
        <v>1</v>
      </c>
    </row>
    <row r="1115" spans="1:11">
      <c r="A1115" t="s">
        <v>1162</v>
      </c>
      <c r="B1115" t="s">
        <v>28</v>
      </c>
      <c r="C1115" t="s">
        <v>25</v>
      </c>
      <c r="D1115" t="s">
        <v>33</v>
      </c>
      <c r="E1115" s="1">
        <v>45105</v>
      </c>
      <c r="F1115" s="1">
        <v>45110</v>
      </c>
      <c r="G1115">
        <v>54.5</v>
      </c>
      <c r="H1115">
        <v>373.97</v>
      </c>
      <c r="I1115" t="s">
        <v>16</v>
      </c>
      <c r="J1115">
        <v>2490</v>
      </c>
      <c r="K1115">
        <v>5</v>
      </c>
    </row>
    <row r="1116" spans="1:11">
      <c r="A1116" t="s">
        <v>1163</v>
      </c>
      <c r="B1116" t="s">
        <v>36</v>
      </c>
      <c r="C1116" t="s">
        <v>71</v>
      </c>
      <c r="D1116" t="s">
        <v>38</v>
      </c>
      <c r="E1116" s="1">
        <v>44983</v>
      </c>
      <c r="F1116" s="1">
        <v>44992</v>
      </c>
      <c r="G1116">
        <v>26.2</v>
      </c>
      <c r="H1116">
        <v>282.94</v>
      </c>
      <c r="I1116" t="s">
        <v>16</v>
      </c>
      <c r="J1116">
        <v>2291</v>
      </c>
      <c r="K1116">
        <v>9</v>
      </c>
    </row>
    <row r="1117" spans="1:11">
      <c r="A1117" t="s">
        <v>1164</v>
      </c>
      <c r="B1117" t="s">
        <v>40</v>
      </c>
      <c r="C1117" t="s">
        <v>18</v>
      </c>
      <c r="D1117" t="s">
        <v>19</v>
      </c>
      <c r="E1117" s="1">
        <v>44987</v>
      </c>
      <c r="F1117" s="1">
        <v>44992</v>
      </c>
      <c r="G1117">
        <v>17.8</v>
      </c>
      <c r="H1117">
        <v>123.19</v>
      </c>
      <c r="I1117" t="s">
        <v>16</v>
      </c>
      <c r="J1117">
        <v>800</v>
      </c>
      <c r="K1117">
        <v>5</v>
      </c>
    </row>
    <row r="1118" spans="1:11">
      <c r="A1118" t="s">
        <v>1165</v>
      </c>
      <c r="B1118" t="s">
        <v>21</v>
      </c>
      <c r="C1118" t="s">
        <v>55</v>
      </c>
      <c r="D1118" t="s">
        <v>43</v>
      </c>
      <c r="E1118" s="1">
        <v>45277</v>
      </c>
      <c r="F1118" s="1">
        <v>45281</v>
      </c>
      <c r="G1118">
        <v>16.399999999999999</v>
      </c>
      <c r="H1118">
        <v>316.52</v>
      </c>
      <c r="I1118" t="s">
        <v>68</v>
      </c>
      <c r="J1118">
        <v>1914</v>
      </c>
      <c r="K1118">
        <v>4</v>
      </c>
    </row>
    <row r="1119" spans="1:11">
      <c r="A1119" t="s">
        <v>1166</v>
      </c>
      <c r="B1119" t="s">
        <v>57</v>
      </c>
      <c r="C1119" t="s">
        <v>41</v>
      </c>
      <c r="D1119" t="s">
        <v>60</v>
      </c>
      <c r="E1119" s="1">
        <v>45017</v>
      </c>
      <c r="G1119">
        <v>10.8</v>
      </c>
      <c r="H1119">
        <v>218.34</v>
      </c>
      <c r="I1119" t="s">
        <v>16</v>
      </c>
      <c r="J1119">
        <v>1937</v>
      </c>
      <c r="K1119">
        <v>5</v>
      </c>
    </row>
    <row r="1120" spans="1:11">
      <c r="A1120" t="s">
        <v>1167</v>
      </c>
      <c r="B1120" t="s">
        <v>31</v>
      </c>
      <c r="C1120" t="s">
        <v>29</v>
      </c>
      <c r="D1120" t="s">
        <v>38</v>
      </c>
      <c r="E1120" s="1">
        <v>44951</v>
      </c>
      <c r="F1120" s="1">
        <v>44956</v>
      </c>
      <c r="G1120">
        <v>44.6</v>
      </c>
      <c r="H1120">
        <v>209.38</v>
      </c>
      <c r="I1120" t="s">
        <v>16</v>
      </c>
      <c r="J1120">
        <v>1333</v>
      </c>
      <c r="K1120">
        <v>5</v>
      </c>
    </row>
    <row r="1121" spans="1:11">
      <c r="A1121" t="s">
        <v>1168</v>
      </c>
      <c r="B1121" t="s">
        <v>24</v>
      </c>
      <c r="C1121" t="s">
        <v>25</v>
      </c>
      <c r="D1121" t="s">
        <v>60</v>
      </c>
      <c r="E1121" s="1">
        <v>45289</v>
      </c>
      <c r="F1121" s="1">
        <v>45295</v>
      </c>
      <c r="G1121">
        <v>6.7</v>
      </c>
      <c r="H1121">
        <v>88.73</v>
      </c>
      <c r="I1121" t="s">
        <v>16</v>
      </c>
      <c r="J1121">
        <v>627</v>
      </c>
      <c r="K1121">
        <v>6</v>
      </c>
    </row>
    <row r="1122" spans="1:11">
      <c r="A1122" t="s">
        <v>1169</v>
      </c>
      <c r="B1122" t="s">
        <v>52</v>
      </c>
      <c r="C1122" t="s">
        <v>22</v>
      </c>
      <c r="D1122" t="s">
        <v>33</v>
      </c>
      <c r="E1122" s="1">
        <v>45258</v>
      </c>
      <c r="F1122" s="1">
        <v>45262</v>
      </c>
      <c r="G1122">
        <v>54.5</v>
      </c>
      <c r="H1122">
        <v>232.49</v>
      </c>
      <c r="I1122" t="s">
        <v>16</v>
      </c>
      <c r="J1122">
        <v>866</v>
      </c>
      <c r="K1122">
        <v>4</v>
      </c>
    </row>
    <row r="1123" spans="1:11">
      <c r="A1123" t="s">
        <v>1170</v>
      </c>
      <c r="B1123" t="s">
        <v>50</v>
      </c>
      <c r="C1123" t="s">
        <v>47</v>
      </c>
      <c r="D1123" t="s">
        <v>33</v>
      </c>
      <c r="E1123" s="1">
        <v>45165</v>
      </c>
      <c r="F1123" s="1">
        <v>45170</v>
      </c>
      <c r="G1123">
        <v>17.2</v>
      </c>
      <c r="H1123">
        <v>248.83</v>
      </c>
      <c r="I1123" t="s">
        <v>16</v>
      </c>
      <c r="J1123">
        <v>1896</v>
      </c>
      <c r="K1123">
        <v>5</v>
      </c>
    </row>
    <row r="1124" spans="1:11">
      <c r="A1124" t="s">
        <v>1171</v>
      </c>
      <c r="B1124" t="s">
        <v>21</v>
      </c>
      <c r="C1124" t="s">
        <v>14</v>
      </c>
      <c r="D1124" t="s">
        <v>33</v>
      </c>
      <c r="E1124" s="1">
        <v>45181</v>
      </c>
      <c r="F1124" s="1">
        <v>45187</v>
      </c>
      <c r="G1124">
        <v>30.8</v>
      </c>
      <c r="H1124">
        <v>314.99</v>
      </c>
      <c r="I1124" t="s">
        <v>16</v>
      </c>
      <c r="J1124">
        <v>1981</v>
      </c>
      <c r="K1124">
        <v>6</v>
      </c>
    </row>
    <row r="1125" spans="1:11">
      <c r="A1125" t="s">
        <v>1172</v>
      </c>
      <c r="B1125" t="s">
        <v>13</v>
      </c>
      <c r="C1125" t="s">
        <v>22</v>
      </c>
      <c r="D1125" t="s">
        <v>15</v>
      </c>
      <c r="E1125" s="1">
        <v>44987</v>
      </c>
      <c r="F1125" s="1">
        <v>44988</v>
      </c>
      <c r="G1125">
        <v>14</v>
      </c>
      <c r="H1125">
        <v>50.83</v>
      </c>
      <c r="I1125" t="s">
        <v>63</v>
      </c>
      <c r="J1125">
        <v>266</v>
      </c>
      <c r="K1125">
        <v>1</v>
      </c>
    </row>
    <row r="1126" spans="1:11">
      <c r="A1126" t="s">
        <v>1173</v>
      </c>
      <c r="B1126" t="s">
        <v>52</v>
      </c>
      <c r="C1126" t="s">
        <v>22</v>
      </c>
      <c r="D1126" t="s">
        <v>15</v>
      </c>
      <c r="E1126" s="1">
        <v>45016</v>
      </c>
      <c r="F1126" s="1">
        <v>45020</v>
      </c>
      <c r="G1126">
        <v>7.9</v>
      </c>
      <c r="H1126">
        <v>219.09</v>
      </c>
      <c r="I1126" t="s">
        <v>16</v>
      </c>
      <c r="J1126">
        <v>1665</v>
      </c>
      <c r="K1126">
        <v>4</v>
      </c>
    </row>
    <row r="1127" spans="1:11">
      <c r="A1127" t="s">
        <v>1174</v>
      </c>
      <c r="B1127" t="s">
        <v>57</v>
      </c>
      <c r="C1127" t="s">
        <v>32</v>
      </c>
      <c r="D1127" t="s">
        <v>19</v>
      </c>
      <c r="E1127" s="1">
        <v>45285</v>
      </c>
      <c r="F1127" s="1">
        <v>45289</v>
      </c>
      <c r="G1127">
        <v>14.3</v>
      </c>
      <c r="H1127">
        <v>256.95999999999998</v>
      </c>
      <c r="I1127" t="s">
        <v>16</v>
      </c>
      <c r="J1127">
        <v>1446</v>
      </c>
      <c r="K1127">
        <v>4</v>
      </c>
    </row>
    <row r="1128" spans="1:11">
      <c r="A1128" t="s">
        <v>1175</v>
      </c>
      <c r="B1128" t="s">
        <v>40</v>
      </c>
      <c r="C1128" t="s">
        <v>55</v>
      </c>
      <c r="D1128" t="s">
        <v>15</v>
      </c>
      <c r="E1128" s="1">
        <v>45169</v>
      </c>
      <c r="F1128" s="1">
        <v>45171</v>
      </c>
      <c r="G1128">
        <v>40.700000000000003</v>
      </c>
      <c r="H1128">
        <v>140.21</v>
      </c>
      <c r="I1128" t="s">
        <v>16</v>
      </c>
      <c r="J1128">
        <v>807</v>
      </c>
      <c r="K1128">
        <v>2</v>
      </c>
    </row>
    <row r="1129" spans="1:11">
      <c r="A1129" t="s">
        <v>1176</v>
      </c>
      <c r="B1129" t="s">
        <v>52</v>
      </c>
      <c r="C1129" t="s">
        <v>53</v>
      </c>
      <c r="D1129" t="s">
        <v>33</v>
      </c>
      <c r="E1129" s="1">
        <v>45186</v>
      </c>
      <c r="F1129" s="1">
        <v>45192</v>
      </c>
      <c r="G1129">
        <v>24.5</v>
      </c>
      <c r="H1129">
        <v>300.24</v>
      </c>
      <c r="I1129" t="s">
        <v>16</v>
      </c>
      <c r="J1129">
        <v>1863</v>
      </c>
      <c r="K1129">
        <v>6</v>
      </c>
    </row>
    <row r="1130" spans="1:11">
      <c r="A1130" t="s">
        <v>1177</v>
      </c>
      <c r="B1130" t="s">
        <v>57</v>
      </c>
      <c r="C1130" t="s">
        <v>53</v>
      </c>
      <c r="D1130" t="s">
        <v>43</v>
      </c>
      <c r="E1130" s="1">
        <v>45150</v>
      </c>
      <c r="F1130" s="1">
        <v>45157</v>
      </c>
      <c r="G1130">
        <v>28.4</v>
      </c>
      <c r="H1130">
        <v>95.99</v>
      </c>
      <c r="I1130" t="s">
        <v>48</v>
      </c>
      <c r="J1130">
        <v>496</v>
      </c>
      <c r="K1130">
        <v>1</v>
      </c>
    </row>
    <row r="1131" spans="1:11">
      <c r="A1131" t="s">
        <v>1178</v>
      </c>
      <c r="B1131" t="s">
        <v>50</v>
      </c>
      <c r="C1131" t="s">
        <v>53</v>
      </c>
      <c r="D1131" t="s">
        <v>60</v>
      </c>
      <c r="E1131" s="1">
        <v>45223</v>
      </c>
      <c r="F1131" s="1">
        <v>45227</v>
      </c>
      <c r="G1131">
        <v>21.5</v>
      </c>
      <c r="H1131">
        <v>200.39</v>
      </c>
      <c r="I1131" t="s">
        <v>16</v>
      </c>
      <c r="J1131">
        <v>1391</v>
      </c>
      <c r="K1131">
        <v>4</v>
      </c>
    </row>
    <row r="1132" spans="1:11">
      <c r="A1132" t="s">
        <v>1179</v>
      </c>
      <c r="B1132" t="s">
        <v>52</v>
      </c>
      <c r="C1132" t="s">
        <v>29</v>
      </c>
      <c r="D1132" t="s">
        <v>19</v>
      </c>
      <c r="E1132" s="1">
        <v>45087</v>
      </c>
      <c r="F1132" s="1">
        <v>45088</v>
      </c>
      <c r="G1132">
        <v>18.2</v>
      </c>
      <c r="H1132">
        <v>77.400000000000006</v>
      </c>
      <c r="I1132" t="s">
        <v>16</v>
      </c>
      <c r="J1132">
        <v>361</v>
      </c>
      <c r="K1132">
        <v>1</v>
      </c>
    </row>
    <row r="1133" spans="1:11">
      <c r="A1133" t="s">
        <v>1180</v>
      </c>
      <c r="B1133" t="s">
        <v>40</v>
      </c>
      <c r="C1133" t="s">
        <v>58</v>
      </c>
      <c r="D1133" t="s">
        <v>15</v>
      </c>
      <c r="E1133" s="1">
        <v>45259</v>
      </c>
      <c r="F1133" s="1">
        <v>45265</v>
      </c>
      <c r="G1133">
        <v>1.1000000000000001</v>
      </c>
      <c r="H1133">
        <v>394.62</v>
      </c>
      <c r="I1133" t="s">
        <v>16</v>
      </c>
      <c r="J1133">
        <v>2484</v>
      </c>
      <c r="K1133">
        <v>6</v>
      </c>
    </row>
    <row r="1134" spans="1:11">
      <c r="A1134" t="s">
        <v>1181</v>
      </c>
      <c r="B1134" t="s">
        <v>24</v>
      </c>
      <c r="C1134" t="s">
        <v>58</v>
      </c>
      <c r="D1134" t="s">
        <v>43</v>
      </c>
      <c r="E1134" s="1">
        <v>45277</v>
      </c>
      <c r="F1134" s="1">
        <v>45291</v>
      </c>
      <c r="G1134">
        <v>35.4</v>
      </c>
      <c r="H1134">
        <v>212.98</v>
      </c>
      <c r="I1134" t="s">
        <v>48</v>
      </c>
      <c r="J1134">
        <v>1171</v>
      </c>
      <c r="K1134">
        <v>5</v>
      </c>
    </row>
    <row r="1135" spans="1:11">
      <c r="A1135" t="s">
        <v>1182</v>
      </c>
      <c r="B1135" t="s">
        <v>24</v>
      </c>
      <c r="C1135" t="s">
        <v>45</v>
      </c>
      <c r="D1135" t="s">
        <v>15</v>
      </c>
      <c r="E1135" s="1">
        <v>45119</v>
      </c>
      <c r="F1135" s="1">
        <v>45124</v>
      </c>
      <c r="G1135">
        <v>10.4</v>
      </c>
      <c r="H1135">
        <v>107.97</v>
      </c>
      <c r="I1135" t="s">
        <v>16</v>
      </c>
      <c r="J1135">
        <v>810</v>
      </c>
      <c r="K1135">
        <v>5</v>
      </c>
    </row>
    <row r="1136" spans="1:11">
      <c r="A1136" t="s">
        <v>1183</v>
      </c>
      <c r="B1136" t="s">
        <v>24</v>
      </c>
      <c r="C1136" t="s">
        <v>18</v>
      </c>
      <c r="D1136" t="s">
        <v>60</v>
      </c>
      <c r="E1136" s="1">
        <v>44964</v>
      </c>
      <c r="F1136" s="1">
        <v>44968</v>
      </c>
      <c r="G1136">
        <v>15.6</v>
      </c>
      <c r="H1136">
        <v>159.13</v>
      </c>
      <c r="I1136" t="s">
        <v>16</v>
      </c>
      <c r="J1136">
        <v>1230</v>
      </c>
      <c r="K1136">
        <v>4</v>
      </c>
    </row>
    <row r="1137" spans="1:11">
      <c r="A1137" t="s">
        <v>1184</v>
      </c>
      <c r="B1137" t="s">
        <v>52</v>
      </c>
      <c r="C1137" t="s">
        <v>71</v>
      </c>
      <c r="D1137" t="s">
        <v>60</v>
      </c>
      <c r="E1137" s="1">
        <v>45260</v>
      </c>
      <c r="F1137" s="1">
        <v>45267</v>
      </c>
      <c r="G1137">
        <v>9.6</v>
      </c>
      <c r="I1137" t="s">
        <v>16</v>
      </c>
      <c r="J1137">
        <v>1000</v>
      </c>
      <c r="K1137">
        <v>7</v>
      </c>
    </row>
    <row r="1138" spans="1:11">
      <c r="A1138" t="s">
        <v>1185</v>
      </c>
      <c r="B1138" t="s">
        <v>31</v>
      </c>
      <c r="C1138" t="s">
        <v>41</v>
      </c>
      <c r="D1138" t="s">
        <v>19</v>
      </c>
      <c r="E1138" s="1">
        <v>45258</v>
      </c>
      <c r="F1138" s="1">
        <v>45259</v>
      </c>
      <c r="G1138">
        <v>15</v>
      </c>
      <c r="H1138">
        <v>48.67</v>
      </c>
      <c r="I1138" t="s">
        <v>16</v>
      </c>
      <c r="J1138">
        <v>173</v>
      </c>
      <c r="K1138">
        <v>1</v>
      </c>
    </row>
    <row r="1139" spans="1:11">
      <c r="A1139" t="s">
        <v>1186</v>
      </c>
      <c r="B1139" t="s">
        <v>50</v>
      </c>
      <c r="C1139" t="s">
        <v>47</v>
      </c>
      <c r="D1139" t="s">
        <v>43</v>
      </c>
      <c r="E1139" s="1">
        <v>44978</v>
      </c>
      <c r="F1139" s="1">
        <v>44983</v>
      </c>
      <c r="G1139">
        <v>15.1</v>
      </c>
      <c r="H1139">
        <v>223.5</v>
      </c>
      <c r="I1139" t="s">
        <v>16</v>
      </c>
      <c r="J1139">
        <v>1689</v>
      </c>
      <c r="K1139">
        <v>5</v>
      </c>
    </row>
    <row r="1140" spans="1:11">
      <c r="A1140" t="s">
        <v>1187</v>
      </c>
      <c r="B1140" t="s">
        <v>36</v>
      </c>
      <c r="C1140" t="s">
        <v>82</v>
      </c>
      <c r="D1140" t="s">
        <v>60</v>
      </c>
      <c r="E1140" s="1">
        <v>44984</v>
      </c>
      <c r="F1140" s="1">
        <v>44988</v>
      </c>
      <c r="G1140">
        <v>26.1</v>
      </c>
      <c r="H1140">
        <v>147.22</v>
      </c>
      <c r="I1140" t="s">
        <v>63</v>
      </c>
      <c r="J1140">
        <v>1000</v>
      </c>
      <c r="K1140">
        <v>4</v>
      </c>
    </row>
    <row r="1141" spans="1:11">
      <c r="A1141" t="s">
        <v>1188</v>
      </c>
      <c r="B1141" t="s">
        <v>57</v>
      </c>
      <c r="C1141" t="s">
        <v>32</v>
      </c>
      <c r="D1141" t="s">
        <v>33</v>
      </c>
      <c r="E1141" s="1">
        <v>45130</v>
      </c>
      <c r="F1141" s="1">
        <v>45133</v>
      </c>
      <c r="G1141">
        <v>49.8</v>
      </c>
      <c r="H1141">
        <v>191.95</v>
      </c>
      <c r="I1141" t="s">
        <v>16</v>
      </c>
      <c r="J1141">
        <v>910</v>
      </c>
      <c r="K1141">
        <v>3</v>
      </c>
    </row>
    <row r="1142" spans="1:11">
      <c r="A1142" t="s">
        <v>1189</v>
      </c>
      <c r="B1142" t="s">
        <v>50</v>
      </c>
      <c r="C1142" t="s">
        <v>53</v>
      </c>
      <c r="D1142" t="s">
        <v>38</v>
      </c>
      <c r="E1142" s="1">
        <v>45106</v>
      </c>
      <c r="F1142" s="1">
        <v>45108</v>
      </c>
      <c r="G1142">
        <v>21.1</v>
      </c>
      <c r="H1142">
        <v>42.11</v>
      </c>
      <c r="I1142" t="s">
        <v>16</v>
      </c>
      <c r="J1142">
        <v>111</v>
      </c>
      <c r="K1142">
        <v>2</v>
      </c>
    </row>
    <row r="1143" spans="1:11">
      <c r="A1143" t="s">
        <v>1190</v>
      </c>
      <c r="B1143" t="s">
        <v>21</v>
      </c>
      <c r="C1143" t="s">
        <v>14</v>
      </c>
      <c r="D1143" t="s">
        <v>15</v>
      </c>
      <c r="E1143" s="1">
        <v>45236</v>
      </c>
      <c r="F1143" s="1">
        <v>45248</v>
      </c>
      <c r="G1143">
        <v>49.6</v>
      </c>
      <c r="H1143">
        <v>245.62</v>
      </c>
      <c r="I1143" t="s">
        <v>48</v>
      </c>
      <c r="J1143">
        <v>1043</v>
      </c>
      <c r="K1143">
        <v>5</v>
      </c>
    </row>
    <row r="1144" spans="1:11">
      <c r="A1144" t="s">
        <v>1191</v>
      </c>
      <c r="B1144" t="s">
        <v>50</v>
      </c>
      <c r="C1144" t="s">
        <v>14</v>
      </c>
      <c r="D1144" t="s">
        <v>33</v>
      </c>
      <c r="E1144" s="1">
        <v>44991</v>
      </c>
      <c r="F1144" s="1">
        <v>44994</v>
      </c>
      <c r="G1144">
        <v>51.1</v>
      </c>
      <c r="H1144">
        <v>221.01</v>
      </c>
      <c r="I1144" t="s">
        <v>16</v>
      </c>
      <c r="J1144">
        <v>1170</v>
      </c>
      <c r="K1144">
        <v>3</v>
      </c>
    </row>
    <row r="1145" spans="1:11">
      <c r="A1145" t="s">
        <v>1192</v>
      </c>
      <c r="B1145" t="s">
        <v>40</v>
      </c>
      <c r="C1145" t="s">
        <v>53</v>
      </c>
      <c r="D1145" t="s">
        <v>38</v>
      </c>
      <c r="E1145" s="1">
        <v>45276</v>
      </c>
      <c r="F1145" s="1">
        <v>45278</v>
      </c>
      <c r="G1145">
        <v>1.9</v>
      </c>
      <c r="H1145">
        <v>119.85</v>
      </c>
      <c r="I1145" t="s">
        <v>16</v>
      </c>
      <c r="J1145">
        <v>796</v>
      </c>
      <c r="K1145">
        <v>2</v>
      </c>
    </row>
    <row r="1146" spans="1:11">
      <c r="A1146" t="s">
        <v>1193</v>
      </c>
      <c r="B1146" t="s">
        <v>24</v>
      </c>
      <c r="C1146" t="s">
        <v>71</v>
      </c>
      <c r="D1146" t="s">
        <v>26</v>
      </c>
      <c r="E1146" s="1">
        <v>45107</v>
      </c>
      <c r="F1146" s="1">
        <v>45111</v>
      </c>
      <c r="G1146">
        <v>21.2</v>
      </c>
      <c r="H1146">
        <v>271.48</v>
      </c>
      <c r="I1146" t="s">
        <v>16</v>
      </c>
      <c r="J1146">
        <v>1849</v>
      </c>
      <c r="K1146">
        <v>4</v>
      </c>
    </row>
    <row r="1147" spans="1:11">
      <c r="A1147" t="s">
        <v>1194</v>
      </c>
      <c r="B1147" t="s">
        <v>13</v>
      </c>
      <c r="C1147" t="s">
        <v>71</v>
      </c>
      <c r="D1147" t="s">
        <v>26</v>
      </c>
      <c r="E1147" s="1">
        <v>45291</v>
      </c>
      <c r="F1147" s="1">
        <v>45299</v>
      </c>
      <c r="G1147">
        <v>44.8</v>
      </c>
      <c r="H1147">
        <v>183.23</v>
      </c>
      <c r="I1147" t="s">
        <v>63</v>
      </c>
      <c r="J1147">
        <v>716</v>
      </c>
      <c r="K1147">
        <v>8</v>
      </c>
    </row>
    <row r="1148" spans="1:11">
      <c r="A1148" t="s">
        <v>1195</v>
      </c>
      <c r="B1148" t="s">
        <v>57</v>
      </c>
      <c r="C1148" t="s">
        <v>71</v>
      </c>
      <c r="D1148" t="s">
        <v>43</v>
      </c>
      <c r="E1148" s="1">
        <v>44937</v>
      </c>
      <c r="F1148" s="1">
        <v>44938</v>
      </c>
      <c r="G1148">
        <v>6.6</v>
      </c>
      <c r="H1148">
        <v>39.880000000000003</v>
      </c>
      <c r="I1148" t="s">
        <v>16</v>
      </c>
      <c r="J1148">
        <v>265</v>
      </c>
      <c r="K1148">
        <v>1</v>
      </c>
    </row>
    <row r="1149" spans="1:11">
      <c r="A1149" t="s">
        <v>1196</v>
      </c>
      <c r="B1149" t="s">
        <v>36</v>
      </c>
      <c r="C1149" t="s">
        <v>25</v>
      </c>
      <c r="D1149" t="s">
        <v>60</v>
      </c>
      <c r="E1149" s="1">
        <v>45280</v>
      </c>
      <c r="F1149" s="1">
        <v>45285</v>
      </c>
      <c r="G1149">
        <v>29.9</v>
      </c>
      <c r="H1149">
        <v>233.47</v>
      </c>
      <c r="I1149" t="s">
        <v>16</v>
      </c>
      <c r="J1149">
        <v>1576</v>
      </c>
      <c r="K1149">
        <v>5</v>
      </c>
    </row>
    <row r="1150" spans="1:11">
      <c r="A1150" t="s">
        <v>1197</v>
      </c>
      <c r="B1150" t="s">
        <v>21</v>
      </c>
      <c r="C1150" t="s">
        <v>29</v>
      </c>
      <c r="D1150" t="s">
        <v>33</v>
      </c>
      <c r="E1150" s="1">
        <v>44947</v>
      </c>
      <c r="F1150" s="1">
        <v>44951</v>
      </c>
      <c r="G1150">
        <v>48.1</v>
      </c>
      <c r="H1150">
        <v>261.72000000000003</v>
      </c>
      <c r="I1150" t="s">
        <v>16</v>
      </c>
      <c r="J1150">
        <v>1435</v>
      </c>
      <c r="K1150">
        <v>4</v>
      </c>
    </row>
    <row r="1151" spans="1:11">
      <c r="A1151" t="s">
        <v>1198</v>
      </c>
      <c r="B1151" t="s">
        <v>50</v>
      </c>
      <c r="C1151" t="s">
        <v>45</v>
      </c>
      <c r="D1151" t="s">
        <v>60</v>
      </c>
      <c r="E1151" s="1">
        <v>45246</v>
      </c>
      <c r="F1151" s="1">
        <v>45249</v>
      </c>
      <c r="G1151">
        <v>19</v>
      </c>
      <c r="H1151">
        <v>782.71</v>
      </c>
      <c r="I1151" t="s">
        <v>16</v>
      </c>
      <c r="J1151">
        <v>870</v>
      </c>
      <c r="K1151">
        <v>3</v>
      </c>
    </row>
    <row r="1152" spans="1:11">
      <c r="A1152" t="s">
        <v>1199</v>
      </c>
      <c r="B1152" t="s">
        <v>57</v>
      </c>
      <c r="C1152" t="s">
        <v>22</v>
      </c>
      <c r="D1152" t="s">
        <v>15</v>
      </c>
      <c r="E1152" s="1">
        <v>45163</v>
      </c>
      <c r="F1152" s="1">
        <v>45170</v>
      </c>
      <c r="G1152">
        <v>25.3</v>
      </c>
      <c r="H1152">
        <v>334.33</v>
      </c>
      <c r="I1152" t="s">
        <v>16</v>
      </c>
      <c r="J1152">
        <v>2305</v>
      </c>
      <c r="K1152">
        <v>7</v>
      </c>
    </row>
    <row r="1153" spans="1:11">
      <c r="A1153" t="s">
        <v>1200</v>
      </c>
      <c r="B1153" t="s">
        <v>52</v>
      </c>
      <c r="C1153" t="s">
        <v>47</v>
      </c>
      <c r="D1153" t="s">
        <v>26</v>
      </c>
      <c r="E1153" s="1">
        <v>45253</v>
      </c>
      <c r="F1153" s="1">
        <v>45254</v>
      </c>
      <c r="G1153">
        <v>10.7</v>
      </c>
      <c r="H1153">
        <v>42.56</v>
      </c>
      <c r="I1153" t="s">
        <v>16</v>
      </c>
      <c r="J1153">
        <v>215</v>
      </c>
      <c r="K1153">
        <v>1</v>
      </c>
    </row>
    <row r="1154" spans="1:11">
      <c r="A1154" t="s">
        <v>1201</v>
      </c>
      <c r="B1154" t="s">
        <v>57</v>
      </c>
      <c r="C1154" t="s">
        <v>82</v>
      </c>
      <c r="D1154" t="s">
        <v>19</v>
      </c>
      <c r="E1154" s="1">
        <v>45180</v>
      </c>
      <c r="F1154" s="1">
        <v>45186</v>
      </c>
      <c r="G1154">
        <v>9.1999999999999993</v>
      </c>
      <c r="H1154">
        <v>225.24</v>
      </c>
      <c r="I1154" t="s">
        <v>63</v>
      </c>
      <c r="J1154">
        <v>1505</v>
      </c>
      <c r="K1154">
        <v>6</v>
      </c>
    </row>
    <row r="1155" spans="1:11">
      <c r="A1155" t="s">
        <v>1202</v>
      </c>
      <c r="B1155" t="s">
        <v>13</v>
      </c>
      <c r="C1155" t="s">
        <v>14</v>
      </c>
      <c r="D1155" t="s">
        <v>43</v>
      </c>
      <c r="E1155" s="1">
        <v>45162</v>
      </c>
      <c r="F1155" s="1">
        <v>45169</v>
      </c>
      <c r="G1155">
        <v>0.3</v>
      </c>
      <c r="H1155">
        <v>273.62</v>
      </c>
      <c r="I1155" t="s">
        <v>16</v>
      </c>
      <c r="J1155">
        <v>2149</v>
      </c>
      <c r="K1155">
        <v>7</v>
      </c>
    </row>
    <row r="1156" spans="1:11">
      <c r="A1156" t="s">
        <v>1203</v>
      </c>
      <c r="B1156" t="s">
        <v>50</v>
      </c>
      <c r="C1156" t="s">
        <v>45</v>
      </c>
      <c r="D1156" t="s">
        <v>38</v>
      </c>
      <c r="E1156" s="1">
        <v>45210</v>
      </c>
      <c r="F1156" s="1">
        <v>45216</v>
      </c>
      <c r="G1156">
        <v>18.5</v>
      </c>
      <c r="H1156">
        <v>225.53</v>
      </c>
      <c r="I1156" t="s">
        <v>16</v>
      </c>
      <c r="J1156">
        <v>1585</v>
      </c>
      <c r="K1156">
        <v>6</v>
      </c>
    </row>
    <row r="1157" spans="1:11">
      <c r="A1157" t="s">
        <v>1204</v>
      </c>
      <c r="B1157" t="s">
        <v>21</v>
      </c>
      <c r="C1157" t="s">
        <v>45</v>
      </c>
      <c r="D1157" t="s">
        <v>19</v>
      </c>
      <c r="E1157" s="1">
        <v>45188</v>
      </c>
      <c r="F1157" s="1">
        <v>45191</v>
      </c>
      <c r="G1157">
        <v>10.199999999999999</v>
      </c>
      <c r="H1157">
        <v>31.86</v>
      </c>
      <c r="I1157" t="s">
        <v>16</v>
      </c>
      <c r="J1157">
        <v>112</v>
      </c>
      <c r="K1157">
        <v>3</v>
      </c>
    </row>
    <row r="1158" spans="1:11">
      <c r="A1158" t="s">
        <v>1205</v>
      </c>
      <c r="B1158" t="s">
        <v>28</v>
      </c>
      <c r="C1158" t="s">
        <v>58</v>
      </c>
      <c r="D1158" t="s">
        <v>43</v>
      </c>
      <c r="E1158" s="1">
        <v>45159</v>
      </c>
      <c r="F1158" s="1">
        <v>45166</v>
      </c>
      <c r="G1158">
        <v>72.2</v>
      </c>
      <c r="H1158">
        <v>354.2</v>
      </c>
      <c r="I1158" t="s">
        <v>16</v>
      </c>
      <c r="J1158">
        <v>2135</v>
      </c>
      <c r="K1158">
        <v>7</v>
      </c>
    </row>
    <row r="1159" spans="1:11">
      <c r="A1159" t="s">
        <v>1206</v>
      </c>
      <c r="B1159" t="s">
        <v>57</v>
      </c>
      <c r="C1159" t="s">
        <v>47</v>
      </c>
      <c r="D1159" t="s">
        <v>33</v>
      </c>
      <c r="E1159" s="1">
        <v>45173</v>
      </c>
      <c r="F1159" s="1">
        <v>45179</v>
      </c>
      <c r="G1159">
        <v>25</v>
      </c>
      <c r="H1159">
        <v>316.11</v>
      </c>
      <c r="I1159" t="s">
        <v>16</v>
      </c>
      <c r="J1159">
        <v>2154</v>
      </c>
      <c r="K1159">
        <v>6</v>
      </c>
    </row>
    <row r="1160" spans="1:11">
      <c r="A1160" t="s">
        <v>1207</v>
      </c>
      <c r="B1160" t="s">
        <v>13</v>
      </c>
      <c r="C1160" t="s">
        <v>47</v>
      </c>
      <c r="D1160" t="s">
        <v>26</v>
      </c>
      <c r="E1160" s="1">
        <v>45183</v>
      </c>
      <c r="F1160" s="1">
        <v>45188</v>
      </c>
      <c r="G1160">
        <v>9.6</v>
      </c>
      <c r="H1160">
        <v>202.87</v>
      </c>
      <c r="I1160" t="s">
        <v>63</v>
      </c>
      <c r="J1160">
        <v>1608</v>
      </c>
      <c r="K1160">
        <v>5</v>
      </c>
    </row>
    <row r="1161" spans="1:11">
      <c r="A1161" t="s">
        <v>1208</v>
      </c>
      <c r="B1161" t="s">
        <v>24</v>
      </c>
      <c r="C1161" t="s">
        <v>18</v>
      </c>
      <c r="D1161" t="s">
        <v>19</v>
      </c>
      <c r="E1161" s="1">
        <v>45158</v>
      </c>
      <c r="F1161" s="1">
        <v>45161</v>
      </c>
      <c r="G1161">
        <v>6.9</v>
      </c>
      <c r="H1161">
        <v>149.93</v>
      </c>
      <c r="I1161" t="s">
        <v>16</v>
      </c>
      <c r="J1161">
        <v>1077</v>
      </c>
      <c r="K1161">
        <v>3</v>
      </c>
    </row>
    <row r="1162" spans="1:11">
      <c r="A1162" t="s">
        <v>1209</v>
      </c>
      <c r="B1162" t="s">
        <v>50</v>
      </c>
      <c r="C1162" t="s">
        <v>82</v>
      </c>
      <c r="D1162" t="s">
        <v>60</v>
      </c>
      <c r="E1162" s="1">
        <v>45259</v>
      </c>
      <c r="F1162" s="1">
        <v>45261</v>
      </c>
      <c r="G1162">
        <v>15.1</v>
      </c>
      <c r="H1162">
        <v>99.27</v>
      </c>
      <c r="I1162" t="s">
        <v>16</v>
      </c>
      <c r="J1162">
        <v>565</v>
      </c>
      <c r="K1162">
        <v>2</v>
      </c>
    </row>
    <row r="1163" spans="1:11">
      <c r="A1163" t="s">
        <v>1210</v>
      </c>
      <c r="B1163" t="s">
        <v>36</v>
      </c>
      <c r="C1163" t="s">
        <v>82</v>
      </c>
      <c r="D1163" t="s">
        <v>43</v>
      </c>
      <c r="E1163" s="1">
        <v>45055</v>
      </c>
      <c r="F1163" s="1">
        <v>45058</v>
      </c>
      <c r="G1163">
        <v>67.400000000000006</v>
      </c>
      <c r="H1163">
        <v>220.93</v>
      </c>
      <c r="I1163" t="s">
        <v>16</v>
      </c>
      <c r="J1163">
        <v>1000</v>
      </c>
      <c r="K1163">
        <v>3</v>
      </c>
    </row>
    <row r="1164" spans="1:11">
      <c r="A1164" t="s">
        <v>1211</v>
      </c>
      <c r="B1164" t="s">
        <v>13</v>
      </c>
      <c r="C1164" t="s">
        <v>45</v>
      </c>
      <c r="D1164" t="s">
        <v>19</v>
      </c>
      <c r="E1164" s="1">
        <v>45213</v>
      </c>
      <c r="F1164" s="1">
        <v>45214</v>
      </c>
      <c r="G1164">
        <v>18.3</v>
      </c>
      <c r="H1164">
        <v>87.07</v>
      </c>
      <c r="I1164" t="s">
        <v>16</v>
      </c>
      <c r="J1164">
        <v>453</v>
      </c>
      <c r="K1164">
        <v>1</v>
      </c>
    </row>
    <row r="1165" spans="1:11">
      <c r="A1165" t="s">
        <v>1212</v>
      </c>
      <c r="B1165" t="s">
        <v>57</v>
      </c>
      <c r="C1165" t="s">
        <v>58</v>
      </c>
      <c r="D1165" t="s">
        <v>38</v>
      </c>
      <c r="E1165" s="1">
        <v>44963</v>
      </c>
      <c r="F1165" s="1">
        <v>44966</v>
      </c>
      <c r="G1165">
        <v>94.1</v>
      </c>
      <c r="H1165">
        <v>117.26</v>
      </c>
      <c r="I1165" t="s">
        <v>16</v>
      </c>
      <c r="J1165">
        <v>132</v>
      </c>
      <c r="K1165">
        <v>3</v>
      </c>
    </row>
    <row r="1166" spans="1:11">
      <c r="A1166" t="s">
        <v>1213</v>
      </c>
      <c r="B1166" t="s">
        <v>21</v>
      </c>
      <c r="C1166" t="s">
        <v>29</v>
      </c>
      <c r="D1166" t="s">
        <v>19</v>
      </c>
      <c r="E1166" s="1">
        <v>44944</v>
      </c>
      <c r="F1166" s="1">
        <v>44947</v>
      </c>
      <c r="G1166">
        <v>8.1999999999999993</v>
      </c>
      <c r="H1166">
        <v>207.39</v>
      </c>
      <c r="I1166" t="s">
        <v>16</v>
      </c>
      <c r="J1166">
        <v>1435</v>
      </c>
      <c r="K1166">
        <v>3</v>
      </c>
    </row>
    <row r="1167" spans="1:11">
      <c r="A1167" t="s">
        <v>1214</v>
      </c>
      <c r="B1167" t="s">
        <v>40</v>
      </c>
      <c r="C1167" t="s">
        <v>32</v>
      </c>
      <c r="D1167" t="s">
        <v>15</v>
      </c>
      <c r="E1167" s="1">
        <v>45032</v>
      </c>
      <c r="F1167" s="1">
        <v>45037</v>
      </c>
      <c r="G1167">
        <v>7</v>
      </c>
      <c r="H1167">
        <v>291.75</v>
      </c>
      <c r="I1167" t="s">
        <v>16</v>
      </c>
      <c r="J1167">
        <v>2078</v>
      </c>
      <c r="K1167">
        <v>5</v>
      </c>
    </row>
    <row r="1168" spans="1:11">
      <c r="A1168" t="s">
        <v>1215</v>
      </c>
      <c r="B1168" t="s">
        <v>21</v>
      </c>
      <c r="C1168" t="s">
        <v>22</v>
      </c>
      <c r="D1168" t="s">
        <v>60</v>
      </c>
      <c r="E1168" s="1">
        <v>44951</v>
      </c>
      <c r="F1168" s="1">
        <v>44955</v>
      </c>
      <c r="G1168">
        <v>53.6</v>
      </c>
      <c r="H1168">
        <v>196.98</v>
      </c>
      <c r="I1168" t="s">
        <v>16</v>
      </c>
      <c r="J1168">
        <v>1047</v>
      </c>
      <c r="K1168">
        <v>4</v>
      </c>
    </row>
    <row r="1169" spans="1:11">
      <c r="A1169" t="s">
        <v>1216</v>
      </c>
      <c r="B1169" t="s">
        <v>28</v>
      </c>
      <c r="C1169" t="s">
        <v>47</v>
      </c>
      <c r="D1169" t="s">
        <v>19</v>
      </c>
      <c r="E1169" s="1">
        <v>45152</v>
      </c>
      <c r="F1169" s="1">
        <v>45157</v>
      </c>
      <c r="G1169">
        <v>5.7</v>
      </c>
      <c r="H1169">
        <v>241.01</v>
      </c>
      <c r="I1169" t="s">
        <v>16</v>
      </c>
      <c r="J1169">
        <v>1582</v>
      </c>
      <c r="K1169">
        <v>5</v>
      </c>
    </row>
    <row r="1170" spans="1:11">
      <c r="A1170" t="s">
        <v>1217</v>
      </c>
      <c r="B1170" t="s">
        <v>21</v>
      </c>
      <c r="C1170" t="s">
        <v>53</v>
      </c>
      <c r="D1170" t="s">
        <v>15</v>
      </c>
      <c r="E1170" s="1">
        <v>45144</v>
      </c>
      <c r="F1170" s="1">
        <v>45149</v>
      </c>
      <c r="G1170">
        <v>27.1</v>
      </c>
      <c r="H1170">
        <v>75.569999999999993</v>
      </c>
      <c r="I1170" t="s">
        <v>16</v>
      </c>
      <c r="J1170">
        <v>373</v>
      </c>
      <c r="K1170">
        <v>5</v>
      </c>
    </row>
    <row r="1171" spans="1:11">
      <c r="A1171" t="s">
        <v>1218</v>
      </c>
      <c r="B1171" t="s">
        <v>31</v>
      </c>
      <c r="C1171" t="s">
        <v>47</v>
      </c>
      <c r="D1171" t="s">
        <v>38</v>
      </c>
      <c r="E1171" s="1">
        <v>45203</v>
      </c>
      <c r="F1171" s="1">
        <v>45216</v>
      </c>
      <c r="G1171">
        <v>15.9</v>
      </c>
      <c r="H1171">
        <v>216.07</v>
      </c>
      <c r="I1171" t="s">
        <v>48</v>
      </c>
      <c r="J1171">
        <v>1814</v>
      </c>
      <c r="K1171">
        <v>6</v>
      </c>
    </row>
    <row r="1172" spans="1:11">
      <c r="A1172" t="s">
        <v>1219</v>
      </c>
      <c r="B1172" t="s">
        <v>40</v>
      </c>
      <c r="C1172" t="s">
        <v>55</v>
      </c>
      <c r="D1172" t="s">
        <v>38</v>
      </c>
      <c r="E1172" s="1">
        <v>45115</v>
      </c>
      <c r="F1172" s="1">
        <v>45119</v>
      </c>
      <c r="G1172">
        <v>6.5</v>
      </c>
      <c r="H1172">
        <v>156</v>
      </c>
      <c r="I1172" t="s">
        <v>16</v>
      </c>
      <c r="J1172">
        <v>1302</v>
      </c>
      <c r="K1172">
        <v>4</v>
      </c>
    </row>
    <row r="1173" spans="1:11">
      <c r="A1173" t="s">
        <v>1220</v>
      </c>
      <c r="B1173" t="s">
        <v>40</v>
      </c>
      <c r="C1173" t="s">
        <v>18</v>
      </c>
      <c r="D1173" t="s">
        <v>15</v>
      </c>
      <c r="E1173" s="1">
        <v>45286</v>
      </c>
      <c r="F1173" s="1">
        <v>45289</v>
      </c>
      <c r="G1173">
        <v>4.7</v>
      </c>
      <c r="H1173">
        <v>116.83</v>
      </c>
      <c r="I1173" t="s">
        <v>16</v>
      </c>
      <c r="J1173">
        <v>800</v>
      </c>
      <c r="K1173">
        <v>3</v>
      </c>
    </row>
    <row r="1174" spans="1:11">
      <c r="A1174" t="s">
        <v>1221</v>
      </c>
      <c r="B1174" t="s">
        <v>21</v>
      </c>
      <c r="C1174" t="s">
        <v>25</v>
      </c>
      <c r="D1174" t="s">
        <v>26</v>
      </c>
      <c r="E1174" s="1">
        <v>45218</v>
      </c>
      <c r="F1174" s="1">
        <v>45232</v>
      </c>
      <c r="G1174">
        <v>17.3</v>
      </c>
      <c r="H1174">
        <v>156.69999999999999</v>
      </c>
      <c r="I1174" t="s">
        <v>48</v>
      </c>
      <c r="J1174">
        <v>1135</v>
      </c>
      <c r="K1174">
        <v>5</v>
      </c>
    </row>
    <row r="1175" spans="1:11">
      <c r="A1175" t="s">
        <v>1222</v>
      </c>
      <c r="B1175" t="s">
        <v>28</v>
      </c>
      <c r="C1175" t="s">
        <v>58</v>
      </c>
      <c r="D1175" t="s">
        <v>43</v>
      </c>
      <c r="E1175" s="1">
        <v>45149</v>
      </c>
      <c r="F1175" s="1">
        <v>45152</v>
      </c>
      <c r="G1175">
        <v>60.8</v>
      </c>
      <c r="H1175">
        <v>217.77</v>
      </c>
      <c r="I1175" t="s">
        <v>16</v>
      </c>
      <c r="J1175">
        <v>1157</v>
      </c>
      <c r="K1175">
        <v>3</v>
      </c>
    </row>
    <row r="1176" spans="1:11">
      <c r="A1176" t="s">
        <v>1223</v>
      </c>
      <c r="B1176" t="s">
        <v>57</v>
      </c>
      <c r="C1176" t="s">
        <v>37</v>
      </c>
      <c r="D1176" t="s">
        <v>33</v>
      </c>
      <c r="E1176" s="1">
        <v>45117</v>
      </c>
      <c r="F1176" s="1">
        <v>45122</v>
      </c>
      <c r="G1176">
        <v>17.100000000000001</v>
      </c>
      <c r="H1176">
        <v>278.83</v>
      </c>
      <c r="I1176" t="s">
        <v>16</v>
      </c>
      <c r="J1176">
        <v>1989</v>
      </c>
      <c r="K1176">
        <v>5</v>
      </c>
    </row>
    <row r="1177" spans="1:11">
      <c r="A1177" t="s">
        <v>1224</v>
      </c>
      <c r="B1177" t="s">
        <v>50</v>
      </c>
      <c r="C1177" t="s">
        <v>37</v>
      </c>
      <c r="D1177" t="s">
        <v>60</v>
      </c>
      <c r="E1177" s="1">
        <v>44979</v>
      </c>
      <c r="F1177" s="1">
        <v>44980</v>
      </c>
      <c r="G1177">
        <v>21.6</v>
      </c>
      <c r="H1177">
        <v>64.62</v>
      </c>
      <c r="I1177" t="s">
        <v>16</v>
      </c>
      <c r="J1177">
        <v>374</v>
      </c>
      <c r="K1177">
        <v>1</v>
      </c>
    </row>
    <row r="1178" spans="1:11">
      <c r="A1178" t="s">
        <v>1225</v>
      </c>
      <c r="B1178" t="s">
        <v>31</v>
      </c>
      <c r="C1178" t="s">
        <v>37</v>
      </c>
      <c r="D1178" t="s">
        <v>33</v>
      </c>
      <c r="E1178" s="1">
        <v>45086</v>
      </c>
      <c r="F1178" s="1">
        <v>45087</v>
      </c>
      <c r="G1178">
        <v>13.1</v>
      </c>
      <c r="H1178">
        <v>32.11</v>
      </c>
      <c r="I1178" t="s">
        <v>63</v>
      </c>
      <c r="J1178">
        <v>131</v>
      </c>
      <c r="K1178">
        <v>1</v>
      </c>
    </row>
    <row r="1179" spans="1:11">
      <c r="A1179" t="s">
        <v>1226</v>
      </c>
      <c r="B1179" t="s">
        <v>57</v>
      </c>
      <c r="C1179" t="s">
        <v>58</v>
      </c>
      <c r="D1179" t="s">
        <v>43</v>
      </c>
      <c r="E1179" s="1">
        <v>45149</v>
      </c>
      <c r="F1179" s="1">
        <v>45151</v>
      </c>
      <c r="G1179">
        <v>31.4</v>
      </c>
      <c r="H1179">
        <v>92.42</v>
      </c>
      <c r="I1179" t="s">
        <v>16</v>
      </c>
      <c r="J1179">
        <v>422</v>
      </c>
      <c r="K1179">
        <v>2</v>
      </c>
    </row>
    <row r="1180" spans="1:11">
      <c r="A1180" t="s">
        <v>1227</v>
      </c>
      <c r="B1180" t="s">
        <v>31</v>
      </c>
      <c r="C1180" t="s">
        <v>18</v>
      </c>
      <c r="D1180" t="s">
        <v>33</v>
      </c>
      <c r="E1180" s="1">
        <v>45112</v>
      </c>
      <c r="F1180" s="1">
        <v>45117</v>
      </c>
      <c r="G1180">
        <v>38</v>
      </c>
      <c r="H1180">
        <v>329.04</v>
      </c>
      <c r="I1180" t="s">
        <v>16</v>
      </c>
      <c r="J1180">
        <v>1940</v>
      </c>
      <c r="K1180">
        <v>5</v>
      </c>
    </row>
    <row r="1181" spans="1:11">
      <c r="A1181" t="s">
        <v>1228</v>
      </c>
      <c r="B1181" t="s">
        <v>52</v>
      </c>
      <c r="C1181" t="s">
        <v>45</v>
      </c>
      <c r="D1181" t="s">
        <v>19</v>
      </c>
      <c r="E1181" s="1">
        <v>45286</v>
      </c>
      <c r="F1181" s="1">
        <v>45303</v>
      </c>
      <c r="G1181">
        <v>13.4</v>
      </c>
      <c r="H1181">
        <v>137.91</v>
      </c>
      <c r="I1181" t="s">
        <v>48</v>
      </c>
      <c r="J1181">
        <v>790</v>
      </c>
      <c r="K1181">
        <v>4</v>
      </c>
    </row>
    <row r="1182" spans="1:11">
      <c r="A1182" t="s">
        <v>1229</v>
      </c>
      <c r="B1182" t="s">
        <v>52</v>
      </c>
      <c r="C1182" t="s">
        <v>25</v>
      </c>
      <c r="D1182" t="s">
        <v>19</v>
      </c>
      <c r="E1182" s="1">
        <v>45023</v>
      </c>
      <c r="F1182" s="1">
        <v>45026</v>
      </c>
      <c r="G1182">
        <v>13</v>
      </c>
      <c r="H1182">
        <v>123.25</v>
      </c>
      <c r="I1182" t="s">
        <v>16</v>
      </c>
      <c r="J1182">
        <v>860</v>
      </c>
      <c r="K1182">
        <v>3</v>
      </c>
    </row>
    <row r="1183" spans="1:11">
      <c r="A1183" t="s">
        <v>1230</v>
      </c>
      <c r="B1183" t="s">
        <v>28</v>
      </c>
      <c r="C1183" t="s">
        <v>55</v>
      </c>
      <c r="D1183" t="s">
        <v>26</v>
      </c>
      <c r="E1183" s="1">
        <v>45125</v>
      </c>
      <c r="F1183" s="1">
        <v>45128</v>
      </c>
      <c r="G1183">
        <v>7.2</v>
      </c>
      <c r="H1183">
        <v>139.61000000000001</v>
      </c>
      <c r="I1183" t="s">
        <v>16</v>
      </c>
      <c r="J1183">
        <v>1122</v>
      </c>
      <c r="K1183">
        <v>3</v>
      </c>
    </row>
    <row r="1184" spans="1:11">
      <c r="A1184" t="s">
        <v>1231</v>
      </c>
      <c r="B1184" t="s">
        <v>28</v>
      </c>
      <c r="C1184" t="s">
        <v>58</v>
      </c>
      <c r="D1184" t="s">
        <v>33</v>
      </c>
      <c r="E1184" s="1">
        <v>45031</v>
      </c>
      <c r="F1184" s="1">
        <v>45035</v>
      </c>
      <c r="G1184">
        <v>8.4</v>
      </c>
      <c r="H1184">
        <v>214.35</v>
      </c>
      <c r="I1184" t="s">
        <v>63</v>
      </c>
      <c r="J1184">
        <v>1640</v>
      </c>
      <c r="K1184">
        <v>4</v>
      </c>
    </row>
    <row r="1185" spans="1:11">
      <c r="A1185" t="s">
        <v>1232</v>
      </c>
      <c r="B1185" t="s">
        <v>52</v>
      </c>
      <c r="C1185" t="s">
        <v>14</v>
      </c>
      <c r="D1185" t="s">
        <v>19</v>
      </c>
      <c r="E1185" s="1">
        <v>45240</v>
      </c>
      <c r="F1185" s="1">
        <v>45248</v>
      </c>
      <c r="G1185">
        <v>9.5</v>
      </c>
      <c r="H1185">
        <v>353.39</v>
      </c>
      <c r="I1185" t="s">
        <v>16</v>
      </c>
      <c r="J1185">
        <v>2274</v>
      </c>
      <c r="K1185">
        <v>8</v>
      </c>
    </row>
    <row r="1186" spans="1:11">
      <c r="A1186" t="s">
        <v>1233</v>
      </c>
      <c r="B1186" t="s">
        <v>52</v>
      </c>
      <c r="C1186" t="s">
        <v>82</v>
      </c>
      <c r="D1186" t="s">
        <v>60</v>
      </c>
      <c r="E1186" s="1">
        <v>44954</v>
      </c>
      <c r="F1186" s="1">
        <v>44955</v>
      </c>
      <c r="G1186">
        <v>21.7</v>
      </c>
      <c r="H1186">
        <v>78.83</v>
      </c>
      <c r="I1186" t="s">
        <v>16</v>
      </c>
      <c r="J1186">
        <v>461</v>
      </c>
      <c r="K1186">
        <v>1</v>
      </c>
    </row>
    <row r="1187" spans="1:11">
      <c r="A1187" t="s">
        <v>1234</v>
      </c>
      <c r="B1187" t="s">
        <v>36</v>
      </c>
      <c r="C1187" t="s">
        <v>47</v>
      </c>
      <c r="D1187" t="s">
        <v>15</v>
      </c>
      <c r="E1187" s="1">
        <v>45104</v>
      </c>
      <c r="F1187" s="1">
        <v>45109</v>
      </c>
      <c r="G1187">
        <v>10.199999999999999</v>
      </c>
      <c r="I1187" t="s">
        <v>16</v>
      </c>
      <c r="J1187">
        <v>1924</v>
      </c>
      <c r="K1187">
        <v>5</v>
      </c>
    </row>
    <row r="1188" spans="1:11">
      <c r="A1188" t="s">
        <v>1235</v>
      </c>
      <c r="B1188" t="s">
        <v>21</v>
      </c>
      <c r="C1188" t="s">
        <v>22</v>
      </c>
      <c r="D1188" t="s">
        <v>33</v>
      </c>
      <c r="E1188" s="1">
        <v>44969</v>
      </c>
      <c r="F1188" s="1">
        <v>44939</v>
      </c>
      <c r="G1188">
        <v>22.1</v>
      </c>
      <c r="H1188">
        <v>301.23</v>
      </c>
      <c r="I1188" t="s">
        <v>48</v>
      </c>
      <c r="J1188">
        <v>1879</v>
      </c>
      <c r="K1188">
        <v>5</v>
      </c>
    </row>
    <row r="1189" spans="1:11">
      <c r="A1189" t="s">
        <v>1236</v>
      </c>
      <c r="B1189" t="s">
        <v>13</v>
      </c>
      <c r="C1189" t="s">
        <v>41</v>
      </c>
      <c r="D1189" t="s">
        <v>19</v>
      </c>
      <c r="E1189" s="1">
        <v>44934</v>
      </c>
      <c r="F1189" s="1">
        <v>44937</v>
      </c>
      <c r="G1189">
        <v>13.5</v>
      </c>
      <c r="H1189">
        <v>116.78</v>
      </c>
      <c r="I1189" t="s">
        <v>63</v>
      </c>
      <c r="J1189">
        <v>702</v>
      </c>
      <c r="K1189">
        <v>3</v>
      </c>
    </row>
    <row r="1190" spans="1:11">
      <c r="A1190" t="s">
        <v>1237</v>
      </c>
      <c r="B1190" t="s">
        <v>40</v>
      </c>
      <c r="C1190" t="s">
        <v>82</v>
      </c>
      <c r="D1190" t="s">
        <v>43</v>
      </c>
      <c r="E1190" s="1">
        <v>44983</v>
      </c>
      <c r="F1190" s="1">
        <v>44953</v>
      </c>
      <c r="G1190">
        <v>45</v>
      </c>
      <c r="H1190">
        <v>182.33</v>
      </c>
      <c r="I1190" t="s">
        <v>68</v>
      </c>
      <c r="J1190">
        <v>1030</v>
      </c>
      <c r="K1190">
        <v>3</v>
      </c>
    </row>
    <row r="1191" spans="1:11">
      <c r="A1191" t="s">
        <v>1238</v>
      </c>
      <c r="B1191" t="s">
        <v>28</v>
      </c>
      <c r="C1191" t="s">
        <v>14</v>
      </c>
      <c r="D1191" t="s">
        <v>33</v>
      </c>
      <c r="E1191" s="1">
        <v>45251</v>
      </c>
      <c r="F1191" s="1">
        <v>45254</v>
      </c>
      <c r="G1191">
        <v>43.7</v>
      </c>
      <c r="H1191">
        <v>135.18</v>
      </c>
      <c r="I1191" t="s">
        <v>16</v>
      </c>
      <c r="J1191">
        <v>462</v>
      </c>
      <c r="K1191">
        <v>3</v>
      </c>
    </row>
    <row r="1192" spans="1:11">
      <c r="A1192" t="s">
        <v>1239</v>
      </c>
      <c r="B1192" t="s">
        <v>36</v>
      </c>
      <c r="C1192" t="s">
        <v>58</v>
      </c>
      <c r="D1192" t="s">
        <v>33</v>
      </c>
      <c r="E1192" s="1">
        <v>45007</v>
      </c>
      <c r="F1192" s="1">
        <v>45009</v>
      </c>
      <c r="G1192">
        <v>152.69999999999999</v>
      </c>
      <c r="H1192">
        <v>290.77</v>
      </c>
      <c r="I1192" t="s">
        <v>16</v>
      </c>
      <c r="J1192">
        <v>841</v>
      </c>
      <c r="K1192">
        <v>2</v>
      </c>
    </row>
    <row r="1193" spans="1:11">
      <c r="A1193" t="s">
        <v>1240</v>
      </c>
      <c r="B1193" t="s">
        <v>28</v>
      </c>
      <c r="C1193" t="s">
        <v>14</v>
      </c>
      <c r="D1193" t="s">
        <v>26</v>
      </c>
      <c r="E1193" s="1">
        <v>45057</v>
      </c>
      <c r="F1193" s="1">
        <v>45062</v>
      </c>
      <c r="G1193">
        <v>39.299999999999997</v>
      </c>
      <c r="H1193">
        <v>186.59</v>
      </c>
      <c r="I1193" t="s">
        <v>16</v>
      </c>
      <c r="J1193">
        <v>1317</v>
      </c>
      <c r="K1193">
        <v>5</v>
      </c>
    </row>
    <row r="1194" spans="1:11">
      <c r="A1194" t="s">
        <v>1241</v>
      </c>
      <c r="B1194" t="s">
        <v>21</v>
      </c>
      <c r="C1194" t="s">
        <v>14</v>
      </c>
      <c r="D1194" t="s">
        <v>26</v>
      </c>
      <c r="E1194" s="1">
        <v>45264</v>
      </c>
      <c r="F1194" s="1">
        <v>45269</v>
      </c>
      <c r="G1194">
        <v>19</v>
      </c>
      <c r="H1194">
        <v>416.08</v>
      </c>
      <c r="I1194" t="s">
        <v>16</v>
      </c>
      <c r="J1194">
        <v>2473</v>
      </c>
      <c r="K1194">
        <v>5</v>
      </c>
    </row>
    <row r="1195" spans="1:11">
      <c r="A1195" t="s">
        <v>1242</v>
      </c>
      <c r="B1195" t="s">
        <v>52</v>
      </c>
      <c r="C1195" t="s">
        <v>45</v>
      </c>
      <c r="D1195" t="s">
        <v>33</v>
      </c>
      <c r="E1195" s="1">
        <v>45125</v>
      </c>
      <c r="F1195" s="1">
        <v>45128</v>
      </c>
      <c r="G1195">
        <v>9.6999999999999993</v>
      </c>
      <c r="I1195" t="s">
        <v>16</v>
      </c>
      <c r="J1195">
        <v>790</v>
      </c>
      <c r="K1195">
        <v>3</v>
      </c>
    </row>
    <row r="1196" spans="1:11">
      <c r="A1196" t="s">
        <v>1243</v>
      </c>
      <c r="B1196" t="s">
        <v>57</v>
      </c>
      <c r="C1196" t="s">
        <v>53</v>
      </c>
      <c r="D1196" t="s">
        <v>38</v>
      </c>
      <c r="E1196" s="1">
        <v>44978</v>
      </c>
      <c r="F1196" s="1">
        <v>44983</v>
      </c>
      <c r="G1196">
        <v>8.3000000000000007</v>
      </c>
      <c r="H1196">
        <v>181.52</v>
      </c>
      <c r="I1196" t="s">
        <v>16</v>
      </c>
      <c r="J1196">
        <v>1457</v>
      </c>
      <c r="K1196">
        <v>5</v>
      </c>
    </row>
    <row r="1197" spans="1:11">
      <c r="A1197" t="s">
        <v>1244</v>
      </c>
      <c r="B1197" t="s">
        <v>13</v>
      </c>
      <c r="C1197" t="s">
        <v>53</v>
      </c>
      <c r="D1197" t="s">
        <v>43</v>
      </c>
      <c r="E1197" s="1">
        <v>45094</v>
      </c>
      <c r="F1197" s="1">
        <v>45098</v>
      </c>
      <c r="G1197">
        <v>9.9</v>
      </c>
      <c r="H1197">
        <v>202.54</v>
      </c>
      <c r="I1197" t="s">
        <v>16</v>
      </c>
      <c r="J1197">
        <v>1493</v>
      </c>
      <c r="K1197">
        <v>4</v>
      </c>
    </row>
    <row r="1198" spans="1:11">
      <c r="A1198" t="s">
        <v>1245</v>
      </c>
      <c r="B1198" t="s">
        <v>50</v>
      </c>
      <c r="C1198" t="s">
        <v>14</v>
      </c>
      <c r="D1198" t="s">
        <v>15</v>
      </c>
      <c r="E1198" s="1">
        <v>45251</v>
      </c>
      <c r="F1198" s="1">
        <v>45257</v>
      </c>
      <c r="G1198">
        <v>27.3</v>
      </c>
      <c r="H1198">
        <v>317.02</v>
      </c>
      <c r="I1198" t="s">
        <v>68</v>
      </c>
      <c r="J1198">
        <v>1876</v>
      </c>
      <c r="K1198">
        <v>6</v>
      </c>
    </row>
    <row r="1199" spans="1:11">
      <c r="A1199" t="s">
        <v>1246</v>
      </c>
      <c r="B1199" t="s">
        <v>13</v>
      </c>
      <c r="C1199" t="s">
        <v>41</v>
      </c>
      <c r="D1199" t="s">
        <v>60</v>
      </c>
      <c r="E1199" s="1">
        <v>45131</v>
      </c>
      <c r="F1199" s="1">
        <v>45133</v>
      </c>
      <c r="G1199">
        <v>27.9</v>
      </c>
      <c r="H1199">
        <v>146.44</v>
      </c>
      <c r="I1199" t="s">
        <v>16</v>
      </c>
      <c r="J1199">
        <v>1067</v>
      </c>
      <c r="K1199">
        <v>2</v>
      </c>
    </row>
    <row r="1200" spans="1:11">
      <c r="A1200" t="s">
        <v>1247</v>
      </c>
      <c r="B1200" t="s">
        <v>57</v>
      </c>
      <c r="C1200" t="s">
        <v>45</v>
      </c>
      <c r="D1200" t="s">
        <v>60</v>
      </c>
      <c r="E1200" s="1">
        <v>44950</v>
      </c>
      <c r="F1200" s="1">
        <v>44958</v>
      </c>
      <c r="G1200">
        <v>58.9</v>
      </c>
      <c r="H1200">
        <v>257.07</v>
      </c>
      <c r="I1200" t="s">
        <v>16</v>
      </c>
      <c r="J1200">
        <v>1762</v>
      </c>
      <c r="K1200">
        <v>8</v>
      </c>
    </row>
    <row r="1201" spans="1:11">
      <c r="A1201" t="s">
        <v>1248</v>
      </c>
      <c r="B1201" t="s">
        <v>28</v>
      </c>
      <c r="C1201" t="s">
        <v>45</v>
      </c>
      <c r="D1201" t="s">
        <v>19</v>
      </c>
      <c r="E1201" s="1">
        <v>45096</v>
      </c>
      <c r="F1201" s="1">
        <v>45101</v>
      </c>
      <c r="G1201">
        <v>83.7</v>
      </c>
      <c r="H1201">
        <v>296.97000000000003</v>
      </c>
      <c r="I1201" t="s">
        <v>16</v>
      </c>
      <c r="J1201">
        <v>1417</v>
      </c>
      <c r="K1201">
        <v>5</v>
      </c>
    </row>
    <row r="1202" spans="1:11">
      <c r="A1202" t="s">
        <v>1249</v>
      </c>
      <c r="B1202" t="s">
        <v>40</v>
      </c>
      <c r="C1202" t="s">
        <v>71</v>
      </c>
      <c r="D1202" t="s">
        <v>43</v>
      </c>
      <c r="E1202" s="1">
        <v>45059</v>
      </c>
      <c r="F1202" s="1">
        <v>45065</v>
      </c>
      <c r="G1202">
        <v>19.8</v>
      </c>
      <c r="H1202">
        <v>271.24</v>
      </c>
      <c r="I1202" t="s">
        <v>16</v>
      </c>
      <c r="J1202">
        <v>1945</v>
      </c>
      <c r="K1202">
        <v>6</v>
      </c>
    </row>
    <row r="1203" spans="1:11">
      <c r="A1203" t="s">
        <v>1250</v>
      </c>
      <c r="B1203" t="s">
        <v>13</v>
      </c>
      <c r="C1203" t="s">
        <v>82</v>
      </c>
      <c r="D1203" t="s">
        <v>15</v>
      </c>
      <c r="E1203" s="1">
        <v>45212</v>
      </c>
      <c r="F1203" s="1">
        <v>45215</v>
      </c>
      <c r="G1203">
        <v>17.5</v>
      </c>
      <c r="H1203">
        <v>90.05</v>
      </c>
      <c r="I1203" t="s">
        <v>16</v>
      </c>
      <c r="J1203">
        <v>591</v>
      </c>
      <c r="K1203">
        <v>3</v>
      </c>
    </row>
    <row r="1204" spans="1:11">
      <c r="A1204" t="s">
        <v>1251</v>
      </c>
      <c r="B1204" t="s">
        <v>57</v>
      </c>
      <c r="C1204" t="s">
        <v>18</v>
      </c>
      <c r="D1204" t="s">
        <v>33</v>
      </c>
      <c r="E1204" s="1">
        <v>45290</v>
      </c>
      <c r="F1204" s="1">
        <v>45293</v>
      </c>
      <c r="G1204">
        <v>19</v>
      </c>
      <c r="H1204">
        <v>153.22999999999999</v>
      </c>
      <c r="I1204" t="s">
        <v>16</v>
      </c>
      <c r="J1204">
        <v>850</v>
      </c>
      <c r="K1204">
        <v>3</v>
      </c>
    </row>
    <row r="1205" spans="1:11">
      <c r="A1205" t="s">
        <v>1252</v>
      </c>
      <c r="B1205" t="s">
        <v>24</v>
      </c>
      <c r="C1205" t="s">
        <v>71</v>
      </c>
      <c r="D1205" t="s">
        <v>26</v>
      </c>
      <c r="E1205" s="1">
        <v>45269</v>
      </c>
      <c r="F1205" s="1">
        <v>45272</v>
      </c>
      <c r="G1205">
        <v>10.9</v>
      </c>
      <c r="H1205">
        <v>201.11</v>
      </c>
      <c r="I1205" t="s">
        <v>16</v>
      </c>
      <c r="J1205">
        <v>1413</v>
      </c>
      <c r="K1205">
        <v>3</v>
      </c>
    </row>
    <row r="1206" spans="1:11">
      <c r="A1206" t="s">
        <v>1253</v>
      </c>
      <c r="B1206" t="s">
        <v>21</v>
      </c>
      <c r="C1206" t="s">
        <v>25</v>
      </c>
      <c r="D1206" t="s">
        <v>26</v>
      </c>
      <c r="E1206" s="1">
        <v>44966</v>
      </c>
      <c r="F1206" s="1">
        <v>44977</v>
      </c>
      <c r="G1206">
        <v>28.6</v>
      </c>
      <c r="H1206">
        <v>180.9</v>
      </c>
      <c r="I1206" t="s">
        <v>48</v>
      </c>
      <c r="J1206">
        <v>1135</v>
      </c>
      <c r="K1206">
        <v>3</v>
      </c>
    </row>
    <row r="1207" spans="1:11">
      <c r="A1207" t="s">
        <v>1254</v>
      </c>
      <c r="B1207" t="s">
        <v>50</v>
      </c>
      <c r="C1207" t="s">
        <v>22</v>
      </c>
      <c r="D1207" t="s">
        <v>19</v>
      </c>
      <c r="E1207" s="1">
        <v>45104</v>
      </c>
      <c r="F1207" s="1">
        <v>45119</v>
      </c>
      <c r="G1207">
        <v>17</v>
      </c>
      <c r="H1207">
        <v>217.08</v>
      </c>
      <c r="I1207" t="s">
        <v>48</v>
      </c>
      <c r="J1207">
        <v>1396</v>
      </c>
      <c r="K1207">
        <v>7</v>
      </c>
    </row>
    <row r="1208" spans="1:11">
      <c r="A1208" t="s">
        <v>1255</v>
      </c>
      <c r="B1208" t="s">
        <v>50</v>
      </c>
      <c r="C1208" t="s">
        <v>47</v>
      </c>
      <c r="D1208" t="s">
        <v>33</v>
      </c>
      <c r="E1208" s="1">
        <v>45162</v>
      </c>
      <c r="F1208" s="1">
        <v>45167</v>
      </c>
      <c r="G1208">
        <v>34.1</v>
      </c>
      <c r="H1208">
        <v>328.13</v>
      </c>
      <c r="I1208" t="s">
        <v>16</v>
      </c>
      <c r="J1208">
        <v>2324</v>
      </c>
      <c r="K1208">
        <v>5</v>
      </c>
    </row>
    <row r="1209" spans="1:11">
      <c r="A1209" t="s">
        <v>1256</v>
      </c>
      <c r="B1209" t="s">
        <v>24</v>
      </c>
      <c r="C1209" t="s">
        <v>37</v>
      </c>
      <c r="D1209" t="s">
        <v>19</v>
      </c>
      <c r="E1209" s="1">
        <v>45011</v>
      </c>
      <c r="F1209" s="1">
        <v>45016</v>
      </c>
      <c r="G1209">
        <v>10.5</v>
      </c>
      <c r="H1209">
        <v>366.13</v>
      </c>
      <c r="I1209" t="s">
        <v>16</v>
      </c>
      <c r="J1209">
        <v>2421</v>
      </c>
      <c r="K1209">
        <v>5</v>
      </c>
    </row>
    <row r="1210" spans="1:11">
      <c r="A1210" t="s">
        <v>1257</v>
      </c>
      <c r="B1210" t="s">
        <v>57</v>
      </c>
      <c r="C1210" t="s">
        <v>82</v>
      </c>
      <c r="D1210" t="s">
        <v>15</v>
      </c>
      <c r="E1210" s="1">
        <v>44975</v>
      </c>
      <c r="F1210" s="1">
        <v>44980</v>
      </c>
      <c r="G1210">
        <v>6.5</v>
      </c>
      <c r="H1210">
        <v>158.31</v>
      </c>
      <c r="I1210" t="s">
        <v>16</v>
      </c>
      <c r="J1210">
        <v>1109</v>
      </c>
      <c r="K1210">
        <v>5</v>
      </c>
    </row>
    <row r="1211" spans="1:11">
      <c r="A1211" t="s">
        <v>1258</v>
      </c>
      <c r="B1211" t="s">
        <v>50</v>
      </c>
      <c r="C1211" t="s">
        <v>58</v>
      </c>
      <c r="D1211" t="s">
        <v>26</v>
      </c>
      <c r="E1211" s="1">
        <v>45137</v>
      </c>
      <c r="F1211" s="1">
        <v>45143</v>
      </c>
      <c r="G1211">
        <v>27.1</v>
      </c>
      <c r="H1211">
        <v>259.17</v>
      </c>
      <c r="I1211" t="s">
        <v>16</v>
      </c>
      <c r="J1211">
        <v>2087</v>
      </c>
      <c r="K1211">
        <v>6</v>
      </c>
    </row>
    <row r="1212" spans="1:11">
      <c r="A1212" t="s">
        <v>1259</v>
      </c>
      <c r="B1212" t="s">
        <v>36</v>
      </c>
      <c r="C1212" t="s">
        <v>29</v>
      </c>
      <c r="D1212" t="s">
        <v>33</v>
      </c>
      <c r="E1212" s="1">
        <v>44944</v>
      </c>
      <c r="F1212" s="1">
        <v>44950</v>
      </c>
      <c r="G1212">
        <v>30</v>
      </c>
      <c r="H1212">
        <v>343.66</v>
      </c>
      <c r="I1212" t="s">
        <v>16</v>
      </c>
      <c r="J1212">
        <v>2379</v>
      </c>
      <c r="K1212">
        <v>6</v>
      </c>
    </row>
    <row r="1213" spans="1:11">
      <c r="A1213" t="s">
        <v>1260</v>
      </c>
      <c r="B1213" t="s">
        <v>21</v>
      </c>
      <c r="C1213" t="s">
        <v>14</v>
      </c>
      <c r="D1213" t="s">
        <v>33</v>
      </c>
      <c r="E1213" s="1">
        <v>45093</v>
      </c>
      <c r="F1213" s="1">
        <v>45105</v>
      </c>
      <c r="G1213">
        <v>250.9</v>
      </c>
      <c r="H1213">
        <v>395</v>
      </c>
      <c r="I1213" t="s">
        <v>48</v>
      </c>
      <c r="J1213">
        <v>239</v>
      </c>
      <c r="K1213">
        <v>1</v>
      </c>
    </row>
    <row r="1214" spans="1:11">
      <c r="A1214" t="s">
        <v>1261</v>
      </c>
      <c r="B1214" t="s">
        <v>52</v>
      </c>
      <c r="C1214" t="s">
        <v>18</v>
      </c>
      <c r="D1214" t="s">
        <v>26</v>
      </c>
      <c r="E1214" s="1">
        <v>45103</v>
      </c>
      <c r="F1214" s="1">
        <v>45106</v>
      </c>
      <c r="G1214">
        <v>23.5</v>
      </c>
      <c r="H1214">
        <v>119.58</v>
      </c>
      <c r="I1214" t="s">
        <v>16</v>
      </c>
      <c r="J1214">
        <v>870</v>
      </c>
      <c r="K1214">
        <v>3</v>
      </c>
    </row>
    <row r="1215" spans="1:11">
      <c r="A1215" t="s">
        <v>1262</v>
      </c>
      <c r="B1215" t="s">
        <v>36</v>
      </c>
      <c r="C1215" t="s">
        <v>58</v>
      </c>
      <c r="D1215" t="s">
        <v>19</v>
      </c>
      <c r="E1215" s="1">
        <v>44975</v>
      </c>
      <c r="G1215">
        <v>18.5</v>
      </c>
      <c r="H1215">
        <v>171.77</v>
      </c>
      <c r="I1215" t="s">
        <v>48</v>
      </c>
      <c r="J1215">
        <v>1073</v>
      </c>
      <c r="K1215">
        <v>3</v>
      </c>
    </row>
    <row r="1216" spans="1:11">
      <c r="A1216" t="s">
        <v>1263</v>
      </c>
      <c r="B1216" t="s">
        <v>36</v>
      </c>
      <c r="C1216" t="s">
        <v>55</v>
      </c>
      <c r="D1216" t="s">
        <v>33</v>
      </c>
      <c r="E1216" s="1">
        <v>45011</v>
      </c>
      <c r="F1216" s="1">
        <v>45016</v>
      </c>
      <c r="G1216">
        <v>81.7</v>
      </c>
      <c r="H1216">
        <v>289.48</v>
      </c>
      <c r="I1216" t="s">
        <v>16</v>
      </c>
      <c r="J1216">
        <v>1350</v>
      </c>
      <c r="K1216">
        <v>5</v>
      </c>
    </row>
    <row r="1217" spans="1:11">
      <c r="A1217" t="s">
        <v>1264</v>
      </c>
      <c r="B1217" t="s">
        <v>57</v>
      </c>
      <c r="C1217" t="s">
        <v>29</v>
      </c>
      <c r="D1217" t="s">
        <v>43</v>
      </c>
      <c r="E1217" s="1">
        <v>44958</v>
      </c>
      <c r="F1217" s="1">
        <v>44960</v>
      </c>
      <c r="G1217">
        <v>17.5</v>
      </c>
      <c r="H1217">
        <v>66.25</v>
      </c>
      <c r="I1217" t="s">
        <v>16</v>
      </c>
      <c r="J1217">
        <v>438</v>
      </c>
      <c r="K1217">
        <v>2</v>
      </c>
    </row>
    <row r="1218" spans="1:11">
      <c r="A1218" t="s">
        <v>1265</v>
      </c>
      <c r="B1218" t="s">
        <v>13</v>
      </c>
      <c r="C1218" t="s">
        <v>29</v>
      </c>
      <c r="D1218" t="s">
        <v>38</v>
      </c>
      <c r="E1218" s="1">
        <v>45232</v>
      </c>
      <c r="F1218" s="1">
        <v>45241</v>
      </c>
      <c r="G1218">
        <v>26.1</v>
      </c>
      <c r="H1218">
        <v>286.32</v>
      </c>
      <c r="I1218" t="s">
        <v>48</v>
      </c>
      <c r="J1218">
        <v>1611</v>
      </c>
      <c r="K1218">
        <v>4</v>
      </c>
    </row>
    <row r="1219" spans="1:11">
      <c r="A1219" t="s">
        <v>1266</v>
      </c>
      <c r="B1219" t="s">
        <v>50</v>
      </c>
      <c r="C1219" t="s">
        <v>25</v>
      </c>
      <c r="D1219" t="s">
        <v>43</v>
      </c>
      <c r="E1219" s="1">
        <v>45088</v>
      </c>
      <c r="F1219" s="1">
        <v>45093</v>
      </c>
      <c r="G1219">
        <v>80.8</v>
      </c>
      <c r="H1219">
        <v>209.48</v>
      </c>
      <c r="I1219" t="s">
        <v>16</v>
      </c>
      <c r="J1219">
        <v>805</v>
      </c>
      <c r="K1219">
        <v>5</v>
      </c>
    </row>
    <row r="1220" spans="1:11">
      <c r="A1220" t="s">
        <v>1267</v>
      </c>
      <c r="B1220" t="s">
        <v>24</v>
      </c>
      <c r="C1220" t="s">
        <v>53</v>
      </c>
      <c r="D1220" t="s">
        <v>33</v>
      </c>
      <c r="E1220" s="1">
        <v>44982</v>
      </c>
      <c r="F1220" s="1">
        <v>44984</v>
      </c>
      <c r="G1220">
        <v>36.799999999999997</v>
      </c>
      <c r="H1220">
        <v>78.75</v>
      </c>
      <c r="I1220" t="s">
        <v>16</v>
      </c>
      <c r="J1220">
        <v>196</v>
      </c>
      <c r="K1220">
        <v>2</v>
      </c>
    </row>
    <row r="1221" spans="1:11">
      <c r="A1221" t="s">
        <v>1268</v>
      </c>
      <c r="B1221" t="s">
        <v>40</v>
      </c>
      <c r="C1221" t="s">
        <v>58</v>
      </c>
      <c r="D1221" t="s">
        <v>19</v>
      </c>
      <c r="E1221" s="1">
        <v>45045</v>
      </c>
      <c r="F1221" s="1">
        <v>45049</v>
      </c>
      <c r="G1221">
        <v>48.2</v>
      </c>
      <c r="H1221">
        <v>262.05</v>
      </c>
      <c r="I1221" t="s">
        <v>16</v>
      </c>
      <c r="J1221">
        <v>1272</v>
      </c>
      <c r="K1221">
        <v>4</v>
      </c>
    </row>
    <row r="1222" spans="1:11">
      <c r="A1222" t="s">
        <v>1269</v>
      </c>
      <c r="B1222" t="s">
        <v>31</v>
      </c>
      <c r="C1222" t="s">
        <v>53</v>
      </c>
      <c r="D1222" t="s">
        <v>15</v>
      </c>
      <c r="E1222" s="1">
        <v>45143</v>
      </c>
      <c r="F1222" s="1">
        <v>45150</v>
      </c>
      <c r="G1222">
        <v>42</v>
      </c>
      <c r="H1222">
        <v>359.87</v>
      </c>
      <c r="I1222" t="s">
        <v>16</v>
      </c>
      <c r="J1222">
        <v>2255</v>
      </c>
      <c r="K1222">
        <v>7</v>
      </c>
    </row>
    <row r="1223" spans="1:11">
      <c r="A1223" t="s">
        <v>1270</v>
      </c>
      <c r="B1223" t="s">
        <v>13</v>
      </c>
      <c r="C1223" t="s">
        <v>71</v>
      </c>
      <c r="D1223" t="s">
        <v>43</v>
      </c>
      <c r="E1223" s="1">
        <v>45235</v>
      </c>
      <c r="F1223" s="1">
        <v>45237</v>
      </c>
      <c r="G1223">
        <v>29.5</v>
      </c>
      <c r="H1223">
        <v>109.58</v>
      </c>
      <c r="I1223" t="s">
        <v>63</v>
      </c>
      <c r="J1223">
        <v>409</v>
      </c>
      <c r="K1223">
        <v>2</v>
      </c>
    </row>
    <row r="1224" spans="1:11">
      <c r="A1224" t="s">
        <v>1271</v>
      </c>
      <c r="B1224" t="s">
        <v>57</v>
      </c>
      <c r="C1224" t="s">
        <v>18</v>
      </c>
      <c r="D1224" t="s">
        <v>15</v>
      </c>
      <c r="E1224" s="1">
        <v>45211</v>
      </c>
      <c r="G1224">
        <v>5.5</v>
      </c>
      <c r="H1224">
        <v>49.39</v>
      </c>
      <c r="I1224" t="s">
        <v>16</v>
      </c>
      <c r="J1224">
        <v>338</v>
      </c>
      <c r="K1224">
        <v>3</v>
      </c>
    </row>
    <row r="1225" spans="1:11">
      <c r="A1225" t="s">
        <v>1272</v>
      </c>
      <c r="B1225" t="s">
        <v>50</v>
      </c>
      <c r="C1225" t="s">
        <v>14</v>
      </c>
      <c r="D1225" t="s">
        <v>33</v>
      </c>
      <c r="E1225" s="1">
        <v>45174</v>
      </c>
      <c r="F1225" s="1">
        <v>45180</v>
      </c>
      <c r="G1225">
        <v>24.9</v>
      </c>
      <c r="H1225">
        <v>351.21</v>
      </c>
      <c r="I1225" t="s">
        <v>16</v>
      </c>
      <c r="J1225">
        <v>2438</v>
      </c>
      <c r="K1225">
        <v>6</v>
      </c>
    </row>
    <row r="1226" spans="1:11">
      <c r="A1226" t="s">
        <v>1273</v>
      </c>
      <c r="B1226" t="s">
        <v>13</v>
      </c>
      <c r="C1226" t="s">
        <v>29</v>
      </c>
      <c r="D1226" t="s">
        <v>15</v>
      </c>
      <c r="E1226" s="1">
        <v>45255</v>
      </c>
      <c r="F1226" s="1">
        <v>45259</v>
      </c>
      <c r="G1226">
        <v>17.899999999999999</v>
      </c>
      <c r="H1226">
        <v>336.25</v>
      </c>
      <c r="I1226" t="s">
        <v>16</v>
      </c>
      <c r="J1226">
        <v>2051</v>
      </c>
      <c r="K1226">
        <v>4</v>
      </c>
    </row>
    <row r="1227" spans="1:11">
      <c r="A1227" t="s">
        <v>1274</v>
      </c>
      <c r="B1227" t="s">
        <v>40</v>
      </c>
      <c r="C1227" t="s">
        <v>45</v>
      </c>
      <c r="D1227" t="s">
        <v>60</v>
      </c>
      <c r="E1227" s="1">
        <v>45171</v>
      </c>
      <c r="F1227" s="1">
        <v>45177</v>
      </c>
      <c r="G1227">
        <v>15.1</v>
      </c>
      <c r="H1227">
        <v>253.23</v>
      </c>
      <c r="I1227" t="s">
        <v>16</v>
      </c>
      <c r="J1227">
        <v>2145</v>
      </c>
      <c r="K1227">
        <v>6</v>
      </c>
    </row>
    <row r="1228" spans="1:11">
      <c r="A1228" t="s">
        <v>1275</v>
      </c>
      <c r="B1228" t="s">
        <v>31</v>
      </c>
      <c r="C1228" t="s">
        <v>55</v>
      </c>
      <c r="D1228" t="s">
        <v>19</v>
      </c>
      <c r="E1228" s="1">
        <v>45156</v>
      </c>
      <c r="F1228" s="1">
        <v>45171</v>
      </c>
      <c r="G1228">
        <v>36.299999999999997</v>
      </c>
      <c r="H1228">
        <v>266.23</v>
      </c>
      <c r="I1228" t="s">
        <v>48</v>
      </c>
      <c r="J1228">
        <v>1635</v>
      </c>
      <c r="K1228">
        <v>4</v>
      </c>
    </row>
    <row r="1229" spans="1:11">
      <c r="A1229" t="s">
        <v>1276</v>
      </c>
      <c r="B1229" t="s">
        <v>13</v>
      </c>
      <c r="C1229" t="s">
        <v>32</v>
      </c>
      <c r="D1229" t="s">
        <v>15</v>
      </c>
      <c r="E1229" s="1">
        <v>45086</v>
      </c>
      <c r="F1229" s="1">
        <v>45093</v>
      </c>
      <c r="G1229">
        <v>17.399999999999999</v>
      </c>
      <c r="H1229">
        <v>250.19</v>
      </c>
      <c r="I1229" t="s">
        <v>16</v>
      </c>
      <c r="J1229">
        <v>1839</v>
      </c>
      <c r="K1229">
        <v>7</v>
      </c>
    </row>
    <row r="1230" spans="1:11">
      <c r="A1230" t="s">
        <v>1277</v>
      </c>
      <c r="B1230" t="s">
        <v>57</v>
      </c>
      <c r="C1230" t="s">
        <v>71</v>
      </c>
      <c r="D1230" t="s">
        <v>38</v>
      </c>
      <c r="E1230" s="1">
        <v>45225</v>
      </c>
      <c r="F1230" s="1">
        <v>45229</v>
      </c>
      <c r="G1230">
        <v>18.399999999999999</v>
      </c>
      <c r="H1230">
        <v>115.48</v>
      </c>
      <c r="I1230" t="s">
        <v>16</v>
      </c>
      <c r="J1230">
        <v>723</v>
      </c>
      <c r="K1230">
        <v>4</v>
      </c>
    </row>
    <row r="1231" spans="1:11">
      <c r="A1231" t="s">
        <v>1278</v>
      </c>
      <c r="B1231" t="s">
        <v>31</v>
      </c>
      <c r="C1231" t="s">
        <v>47</v>
      </c>
      <c r="D1231" t="s">
        <v>43</v>
      </c>
      <c r="E1231" s="1">
        <v>45151</v>
      </c>
      <c r="F1231" s="1">
        <v>45153</v>
      </c>
      <c r="G1231">
        <v>10.4</v>
      </c>
      <c r="H1231">
        <v>80.42</v>
      </c>
      <c r="I1231" t="s">
        <v>16</v>
      </c>
      <c r="J1231">
        <v>615</v>
      </c>
      <c r="K1231">
        <v>2</v>
      </c>
    </row>
    <row r="1232" spans="1:11">
      <c r="A1232" t="s">
        <v>1279</v>
      </c>
      <c r="B1232" t="s">
        <v>40</v>
      </c>
      <c r="C1232" t="s">
        <v>45</v>
      </c>
      <c r="D1232" t="s">
        <v>38</v>
      </c>
      <c r="E1232" s="1">
        <v>45059</v>
      </c>
      <c r="F1232" s="1">
        <v>45062</v>
      </c>
      <c r="G1232">
        <v>17.8</v>
      </c>
      <c r="H1232">
        <v>122.76</v>
      </c>
      <c r="I1232" t="s">
        <v>16</v>
      </c>
      <c r="J1232">
        <v>809</v>
      </c>
      <c r="K1232">
        <v>3</v>
      </c>
    </row>
    <row r="1233" spans="1:11">
      <c r="A1233" t="s">
        <v>1280</v>
      </c>
      <c r="B1233" t="s">
        <v>31</v>
      </c>
      <c r="C1233" t="s">
        <v>53</v>
      </c>
      <c r="D1233" t="s">
        <v>60</v>
      </c>
      <c r="E1233" s="1">
        <v>45265</v>
      </c>
      <c r="F1233" s="1">
        <v>45274</v>
      </c>
      <c r="G1233">
        <v>65.599999999999994</v>
      </c>
      <c r="H1233">
        <v>368.43</v>
      </c>
      <c r="I1233" t="s">
        <v>16</v>
      </c>
      <c r="J1233">
        <v>2255</v>
      </c>
      <c r="K1233">
        <v>9</v>
      </c>
    </row>
    <row r="1234" spans="1:11">
      <c r="A1234" t="s">
        <v>1281</v>
      </c>
      <c r="B1234" t="s">
        <v>36</v>
      </c>
      <c r="C1234" t="s">
        <v>29</v>
      </c>
      <c r="D1234" t="s">
        <v>38</v>
      </c>
      <c r="E1234" s="1">
        <v>45047</v>
      </c>
      <c r="F1234" s="1">
        <v>45051</v>
      </c>
      <c r="G1234">
        <v>9.6999999999999993</v>
      </c>
      <c r="H1234">
        <v>120.4</v>
      </c>
      <c r="I1234" t="s">
        <v>16</v>
      </c>
      <c r="J1234">
        <v>997</v>
      </c>
      <c r="K1234">
        <v>4</v>
      </c>
    </row>
    <row r="1235" spans="1:11">
      <c r="A1235" t="s">
        <v>1282</v>
      </c>
      <c r="B1235" t="s">
        <v>31</v>
      </c>
      <c r="C1235" t="s">
        <v>25</v>
      </c>
      <c r="D1235" t="s">
        <v>60</v>
      </c>
      <c r="E1235" s="1">
        <v>44937</v>
      </c>
      <c r="F1235" s="1">
        <v>44938</v>
      </c>
      <c r="G1235">
        <v>36.200000000000003</v>
      </c>
      <c r="I1235" t="s">
        <v>16</v>
      </c>
      <c r="J1235">
        <v>101</v>
      </c>
      <c r="K1235">
        <v>1</v>
      </c>
    </row>
    <row r="1236" spans="1:11">
      <c r="A1236" t="s">
        <v>1283</v>
      </c>
      <c r="B1236" t="s">
        <v>21</v>
      </c>
      <c r="C1236" t="s">
        <v>29</v>
      </c>
      <c r="D1236" t="s">
        <v>19</v>
      </c>
      <c r="E1236" s="1">
        <v>45063</v>
      </c>
      <c r="F1236" s="1">
        <v>45069</v>
      </c>
      <c r="G1236">
        <v>6.2</v>
      </c>
      <c r="H1236">
        <v>210.74</v>
      </c>
      <c r="I1236" t="s">
        <v>48</v>
      </c>
      <c r="J1236">
        <v>1435</v>
      </c>
      <c r="K1236">
        <v>5</v>
      </c>
    </row>
    <row r="1237" spans="1:11">
      <c r="A1237" t="s">
        <v>1284</v>
      </c>
      <c r="B1237" t="s">
        <v>28</v>
      </c>
      <c r="C1237" t="s">
        <v>58</v>
      </c>
      <c r="D1237" t="s">
        <v>43</v>
      </c>
      <c r="E1237" s="1">
        <v>45114</v>
      </c>
      <c r="F1237" s="1">
        <v>45121</v>
      </c>
      <c r="G1237">
        <v>42.8</v>
      </c>
      <c r="H1237">
        <v>322.49</v>
      </c>
      <c r="I1237" t="s">
        <v>16</v>
      </c>
      <c r="J1237">
        <v>2389</v>
      </c>
      <c r="K1237">
        <v>7</v>
      </c>
    </row>
    <row r="1238" spans="1:11">
      <c r="A1238" t="s">
        <v>1285</v>
      </c>
      <c r="B1238" t="s">
        <v>50</v>
      </c>
      <c r="C1238" t="s">
        <v>29</v>
      </c>
      <c r="D1238" t="s">
        <v>26</v>
      </c>
      <c r="E1238" s="1">
        <v>45007</v>
      </c>
      <c r="F1238" s="1">
        <v>45013</v>
      </c>
      <c r="G1238">
        <v>10.6</v>
      </c>
      <c r="H1238">
        <v>256.26</v>
      </c>
      <c r="I1238" t="s">
        <v>68</v>
      </c>
      <c r="J1238">
        <v>2001</v>
      </c>
      <c r="K1238">
        <v>6</v>
      </c>
    </row>
    <row r="1239" spans="1:11">
      <c r="A1239" t="s">
        <v>1286</v>
      </c>
      <c r="B1239" t="s">
        <v>13</v>
      </c>
      <c r="C1239" t="s">
        <v>41</v>
      </c>
      <c r="D1239" t="s">
        <v>60</v>
      </c>
      <c r="E1239" s="1">
        <v>44953</v>
      </c>
      <c r="F1239" s="1">
        <v>44957</v>
      </c>
      <c r="G1239">
        <v>10.6</v>
      </c>
      <c r="H1239">
        <v>107.5</v>
      </c>
      <c r="I1239" t="s">
        <v>16</v>
      </c>
      <c r="J1239">
        <v>788</v>
      </c>
      <c r="K1239">
        <v>4</v>
      </c>
    </row>
    <row r="1240" spans="1:11">
      <c r="A1240" t="s">
        <v>1287</v>
      </c>
      <c r="B1240" t="s">
        <v>57</v>
      </c>
      <c r="C1240" t="s">
        <v>71</v>
      </c>
      <c r="D1240" t="s">
        <v>60</v>
      </c>
      <c r="E1240" s="1">
        <v>45045</v>
      </c>
      <c r="F1240" s="1">
        <v>45050</v>
      </c>
      <c r="G1240">
        <v>81.2</v>
      </c>
      <c r="H1240">
        <v>243.39</v>
      </c>
      <c r="I1240" t="s">
        <v>16</v>
      </c>
      <c r="J1240">
        <v>1220</v>
      </c>
      <c r="K1240">
        <v>5</v>
      </c>
    </row>
    <row r="1241" spans="1:11">
      <c r="A1241" t="s">
        <v>1288</v>
      </c>
      <c r="B1241" t="s">
        <v>57</v>
      </c>
      <c r="C1241" t="s">
        <v>29</v>
      </c>
      <c r="D1241" t="s">
        <v>43</v>
      </c>
      <c r="E1241" s="1">
        <v>44950</v>
      </c>
      <c r="F1241" s="1">
        <v>44952</v>
      </c>
      <c r="G1241">
        <v>25.9</v>
      </c>
      <c r="H1241">
        <v>66.72</v>
      </c>
      <c r="I1241" t="s">
        <v>16</v>
      </c>
      <c r="J1241">
        <v>300</v>
      </c>
      <c r="K1241">
        <v>2</v>
      </c>
    </row>
    <row r="1242" spans="1:11">
      <c r="A1242" t="s">
        <v>1289</v>
      </c>
      <c r="B1242" t="s">
        <v>31</v>
      </c>
      <c r="C1242" t="s">
        <v>82</v>
      </c>
      <c r="D1242" t="s">
        <v>19</v>
      </c>
      <c r="E1242" s="1">
        <v>44941</v>
      </c>
      <c r="F1242" s="1">
        <v>44947</v>
      </c>
      <c r="G1242">
        <v>10.3</v>
      </c>
      <c r="H1242">
        <v>310.05</v>
      </c>
      <c r="I1242" t="s">
        <v>16</v>
      </c>
      <c r="J1242">
        <v>2006</v>
      </c>
      <c r="K1242">
        <v>6</v>
      </c>
    </row>
    <row r="1243" spans="1:11">
      <c r="A1243" t="s">
        <v>1290</v>
      </c>
      <c r="B1243" t="s">
        <v>31</v>
      </c>
      <c r="C1243" t="s">
        <v>82</v>
      </c>
      <c r="D1243" t="s">
        <v>43</v>
      </c>
      <c r="E1243" s="1">
        <v>45146</v>
      </c>
      <c r="F1243" s="1">
        <v>45148</v>
      </c>
      <c r="G1243">
        <v>22.8</v>
      </c>
      <c r="H1243">
        <v>46.91</v>
      </c>
      <c r="I1243" t="s">
        <v>16</v>
      </c>
      <c r="J1243">
        <v>203</v>
      </c>
      <c r="K1243">
        <v>2</v>
      </c>
    </row>
    <row r="1244" spans="1:11">
      <c r="A1244" t="s">
        <v>1291</v>
      </c>
      <c r="B1244" t="s">
        <v>57</v>
      </c>
      <c r="C1244" t="s">
        <v>22</v>
      </c>
      <c r="D1244" t="s">
        <v>19</v>
      </c>
      <c r="E1244" s="1">
        <v>44946</v>
      </c>
      <c r="F1244" s="1">
        <v>44948</v>
      </c>
      <c r="G1244">
        <v>10.199999999999999</v>
      </c>
      <c r="H1244">
        <v>112.82</v>
      </c>
      <c r="I1244" t="s">
        <v>16</v>
      </c>
      <c r="J1244">
        <v>751</v>
      </c>
      <c r="K1244">
        <v>2</v>
      </c>
    </row>
    <row r="1245" spans="1:11">
      <c r="A1245" t="s">
        <v>1292</v>
      </c>
      <c r="B1245" t="s">
        <v>40</v>
      </c>
      <c r="C1245" t="s">
        <v>25</v>
      </c>
      <c r="D1245" t="s">
        <v>19</v>
      </c>
      <c r="E1245" s="1">
        <v>45068</v>
      </c>
      <c r="F1245" s="1">
        <v>45073</v>
      </c>
      <c r="G1245">
        <v>37.4</v>
      </c>
      <c r="H1245">
        <v>350.17</v>
      </c>
      <c r="I1245" t="s">
        <v>63</v>
      </c>
      <c r="J1245">
        <v>2290</v>
      </c>
      <c r="K1245">
        <v>5</v>
      </c>
    </row>
    <row r="1246" spans="1:11">
      <c r="A1246" t="s">
        <v>1293</v>
      </c>
      <c r="B1246" t="s">
        <v>28</v>
      </c>
      <c r="C1246" t="s">
        <v>58</v>
      </c>
      <c r="D1246" t="s">
        <v>19</v>
      </c>
      <c r="E1246" s="1">
        <v>45200</v>
      </c>
      <c r="F1246" s="1">
        <v>45202</v>
      </c>
      <c r="G1246">
        <v>13.8</v>
      </c>
      <c r="H1246">
        <v>60.56</v>
      </c>
      <c r="I1246" t="s">
        <v>16</v>
      </c>
      <c r="J1246">
        <v>261</v>
      </c>
      <c r="K1246">
        <v>2</v>
      </c>
    </row>
    <row r="1247" spans="1:11">
      <c r="A1247" t="s">
        <v>1294</v>
      </c>
      <c r="B1247" t="s">
        <v>13</v>
      </c>
      <c r="C1247" t="s">
        <v>25</v>
      </c>
      <c r="D1247" t="s">
        <v>15</v>
      </c>
      <c r="E1247" s="1">
        <v>45180</v>
      </c>
      <c r="F1247" s="1">
        <v>45185</v>
      </c>
      <c r="G1247">
        <v>45.4</v>
      </c>
      <c r="H1247">
        <v>270.54000000000002</v>
      </c>
      <c r="I1247" t="s">
        <v>16</v>
      </c>
      <c r="J1247">
        <v>1794</v>
      </c>
      <c r="K1247">
        <v>5</v>
      </c>
    </row>
    <row r="1248" spans="1:11">
      <c r="A1248" t="s">
        <v>1295</v>
      </c>
      <c r="B1248" t="s">
        <v>52</v>
      </c>
      <c r="C1248" t="s">
        <v>45</v>
      </c>
      <c r="D1248" t="s">
        <v>26</v>
      </c>
      <c r="E1248" s="1">
        <v>44973</v>
      </c>
      <c r="F1248" s="1">
        <v>44975</v>
      </c>
      <c r="G1248">
        <v>10.8</v>
      </c>
      <c r="H1248">
        <v>105.44</v>
      </c>
      <c r="I1248" t="s">
        <v>16</v>
      </c>
      <c r="J1248">
        <v>790</v>
      </c>
      <c r="K1248">
        <v>2</v>
      </c>
    </row>
    <row r="1249" spans="1:11">
      <c r="A1249" t="s">
        <v>1296</v>
      </c>
      <c r="B1249" t="s">
        <v>36</v>
      </c>
      <c r="C1249" t="s">
        <v>22</v>
      </c>
      <c r="D1249" t="s">
        <v>19</v>
      </c>
      <c r="E1249" s="1">
        <v>45106</v>
      </c>
      <c r="F1249" s="1">
        <v>45111</v>
      </c>
      <c r="G1249">
        <v>47.3</v>
      </c>
      <c r="H1249">
        <v>347.27</v>
      </c>
      <c r="I1249" t="s">
        <v>16</v>
      </c>
      <c r="J1249">
        <v>2055</v>
      </c>
      <c r="K1249">
        <v>5</v>
      </c>
    </row>
    <row r="1250" spans="1:11">
      <c r="A1250" t="s">
        <v>1297</v>
      </c>
      <c r="B1250" t="s">
        <v>50</v>
      </c>
      <c r="C1250" t="s">
        <v>82</v>
      </c>
      <c r="D1250" t="s">
        <v>19</v>
      </c>
      <c r="E1250" s="1">
        <v>45179</v>
      </c>
      <c r="F1250" s="1">
        <v>45186</v>
      </c>
      <c r="G1250">
        <v>58</v>
      </c>
      <c r="H1250">
        <v>389.41</v>
      </c>
      <c r="I1250" t="s">
        <v>48</v>
      </c>
      <c r="J1250">
        <v>2199</v>
      </c>
      <c r="K1250">
        <v>6</v>
      </c>
    </row>
    <row r="1251" spans="1:11">
      <c r="A1251" t="s">
        <v>1298</v>
      </c>
      <c r="B1251" t="s">
        <v>28</v>
      </c>
      <c r="C1251" t="s">
        <v>58</v>
      </c>
      <c r="D1251" t="s">
        <v>33</v>
      </c>
      <c r="E1251" s="1">
        <v>44983</v>
      </c>
      <c r="F1251" s="1">
        <v>44986</v>
      </c>
      <c r="G1251">
        <v>21.4</v>
      </c>
      <c r="H1251">
        <v>136.38999999999999</v>
      </c>
      <c r="I1251" t="s">
        <v>63</v>
      </c>
      <c r="J1251">
        <v>799</v>
      </c>
      <c r="K1251">
        <v>3</v>
      </c>
    </row>
    <row r="1252" spans="1:11">
      <c r="A1252" t="s">
        <v>1299</v>
      </c>
      <c r="B1252" t="s">
        <v>21</v>
      </c>
      <c r="C1252" t="s">
        <v>37</v>
      </c>
      <c r="D1252" t="s">
        <v>43</v>
      </c>
      <c r="E1252" s="1">
        <v>44953</v>
      </c>
      <c r="F1252" s="1">
        <v>44954</v>
      </c>
      <c r="G1252">
        <v>15.8</v>
      </c>
      <c r="H1252">
        <v>48.13</v>
      </c>
      <c r="I1252" t="s">
        <v>16</v>
      </c>
      <c r="J1252">
        <v>250</v>
      </c>
      <c r="K1252">
        <v>1</v>
      </c>
    </row>
    <row r="1253" spans="1:11">
      <c r="A1253" t="s">
        <v>1300</v>
      </c>
      <c r="B1253" t="s">
        <v>24</v>
      </c>
      <c r="C1253" t="s">
        <v>22</v>
      </c>
      <c r="D1253" t="s">
        <v>19</v>
      </c>
      <c r="E1253" s="1">
        <v>45118</v>
      </c>
      <c r="F1253" s="1">
        <v>45123</v>
      </c>
      <c r="G1253">
        <v>10.8</v>
      </c>
      <c r="H1253">
        <v>224.13</v>
      </c>
      <c r="I1253" t="s">
        <v>16</v>
      </c>
      <c r="J1253">
        <v>1409</v>
      </c>
      <c r="K1253">
        <v>5</v>
      </c>
    </row>
    <row r="1254" spans="1:11">
      <c r="A1254" t="s">
        <v>1301</v>
      </c>
      <c r="B1254" t="s">
        <v>28</v>
      </c>
      <c r="C1254" t="s">
        <v>18</v>
      </c>
      <c r="D1254" t="s">
        <v>38</v>
      </c>
      <c r="E1254" s="1">
        <v>45050</v>
      </c>
      <c r="F1254" s="1">
        <v>45058</v>
      </c>
      <c r="G1254">
        <v>40.5</v>
      </c>
      <c r="H1254">
        <v>236.11</v>
      </c>
      <c r="I1254" t="s">
        <v>48</v>
      </c>
      <c r="J1254">
        <v>1756</v>
      </c>
      <c r="K1254">
        <v>4</v>
      </c>
    </row>
    <row r="1255" spans="1:11">
      <c r="A1255" t="s">
        <v>1302</v>
      </c>
      <c r="B1255" t="s">
        <v>36</v>
      </c>
      <c r="C1255" t="s">
        <v>37</v>
      </c>
      <c r="D1255" t="s">
        <v>60</v>
      </c>
      <c r="E1255" s="1">
        <v>45074</v>
      </c>
      <c r="F1255" s="1">
        <v>45078</v>
      </c>
      <c r="G1255">
        <v>9.9</v>
      </c>
      <c r="H1255">
        <v>150.46</v>
      </c>
      <c r="I1255" t="s">
        <v>16</v>
      </c>
      <c r="J1255">
        <v>1129</v>
      </c>
      <c r="K1255">
        <v>4</v>
      </c>
    </row>
    <row r="1256" spans="1:11">
      <c r="A1256" t="s">
        <v>1303</v>
      </c>
      <c r="B1256" t="s">
        <v>40</v>
      </c>
      <c r="C1256" t="s">
        <v>18</v>
      </c>
      <c r="D1256" t="s">
        <v>43</v>
      </c>
      <c r="E1256" s="1">
        <v>45198</v>
      </c>
      <c r="F1256" s="1">
        <v>45203</v>
      </c>
      <c r="G1256">
        <v>44.4</v>
      </c>
      <c r="H1256">
        <v>152.04</v>
      </c>
      <c r="I1256" t="s">
        <v>16</v>
      </c>
      <c r="J1256">
        <v>800</v>
      </c>
      <c r="K1256">
        <v>5</v>
      </c>
    </row>
    <row r="1257" spans="1:11">
      <c r="A1257" t="s">
        <v>1304</v>
      </c>
      <c r="B1257" t="s">
        <v>52</v>
      </c>
      <c r="C1257" t="s">
        <v>32</v>
      </c>
      <c r="D1257" t="s">
        <v>15</v>
      </c>
      <c r="E1257" s="1">
        <v>45228</v>
      </c>
      <c r="F1257" s="1">
        <v>45231</v>
      </c>
      <c r="G1257">
        <v>15.5</v>
      </c>
      <c r="H1257">
        <v>159.84</v>
      </c>
      <c r="I1257" t="s">
        <v>16</v>
      </c>
      <c r="J1257">
        <v>1090</v>
      </c>
      <c r="K1257">
        <v>3</v>
      </c>
    </row>
    <row r="1258" spans="1:11">
      <c r="A1258" t="s">
        <v>1305</v>
      </c>
      <c r="B1258" t="s">
        <v>52</v>
      </c>
      <c r="C1258" t="s">
        <v>45</v>
      </c>
      <c r="D1258" t="s">
        <v>26</v>
      </c>
      <c r="E1258" s="1">
        <v>45279</v>
      </c>
      <c r="F1258" s="1">
        <v>45283</v>
      </c>
      <c r="G1258">
        <v>13.5</v>
      </c>
      <c r="H1258">
        <v>123.13</v>
      </c>
      <c r="I1258" t="s">
        <v>16</v>
      </c>
      <c r="J1258">
        <v>790</v>
      </c>
      <c r="K1258">
        <v>4</v>
      </c>
    </row>
    <row r="1259" spans="1:11">
      <c r="A1259" t="s">
        <v>1306</v>
      </c>
      <c r="B1259" t="s">
        <v>40</v>
      </c>
      <c r="C1259" t="s">
        <v>58</v>
      </c>
      <c r="D1259" t="s">
        <v>60</v>
      </c>
      <c r="E1259" s="1">
        <v>45212</v>
      </c>
      <c r="G1259">
        <v>6.4</v>
      </c>
      <c r="H1259">
        <v>191.61</v>
      </c>
      <c r="I1259" t="s">
        <v>16</v>
      </c>
      <c r="J1259">
        <v>1770</v>
      </c>
      <c r="K1259">
        <v>6</v>
      </c>
    </row>
    <row r="1260" spans="1:11">
      <c r="A1260" t="s">
        <v>1307</v>
      </c>
      <c r="B1260" t="s">
        <v>36</v>
      </c>
      <c r="C1260" t="s">
        <v>29</v>
      </c>
      <c r="D1260" t="s">
        <v>38</v>
      </c>
      <c r="E1260" s="1">
        <v>45220</v>
      </c>
      <c r="F1260" s="1">
        <v>45225</v>
      </c>
      <c r="G1260">
        <v>14.5</v>
      </c>
      <c r="H1260">
        <v>202.38</v>
      </c>
      <c r="I1260" t="s">
        <v>16</v>
      </c>
      <c r="J1260">
        <v>1704</v>
      </c>
      <c r="K1260">
        <v>5</v>
      </c>
    </row>
    <row r="1261" spans="1:11">
      <c r="A1261" t="s">
        <v>1308</v>
      </c>
      <c r="B1261" t="s">
        <v>24</v>
      </c>
      <c r="C1261" t="s">
        <v>71</v>
      </c>
      <c r="D1261" t="s">
        <v>43</v>
      </c>
      <c r="E1261" s="1">
        <v>45037</v>
      </c>
      <c r="F1261" s="1">
        <v>45043</v>
      </c>
      <c r="G1261">
        <v>45.4</v>
      </c>
      <c r="H1261">
        <v>102.09</v>
      </c>
      <c r="I1261" t="s">
        <v>48</v>
      </c>
      <c r="J1261">
        <v>473</v>
      </c>
      <c r="K1261">
        <v>2</v>
      </c>
    </row>
    <row r="1262" spans="1:11">
      <c r="A1262" t="s">
        <v>1309</v>
      </c>
      <c r="B1262" t="s">
        <v>13</v>
      </c>
      <c r="C1262" t="s">
        <v>45</v>
      </c>
      <c r="D1262" t="s">
        <v>15</v>
      </c>
      <c r="E1262" s="1">
        <v>44961</v>
      </c>
      <c r="F1262" s="1">
        <v>44964</v>
      </c>
      <c r="G1262">
        <v>13.1</v>
      </c>
      <c r="H1262">
        <v>195.45</v>
      </c>
      <c r="I1262" t="s">
        <v>16</v>
      </c>
      <c r="J1262">
        <v>1331</v>
      </c>
      <c r="K1262">
        <v>3</v>
      </c>
    </row>
    <row r="1263" spans="1:11">
      <c r="A1263" t="s">
        <v>1310</v>
      </c>
      <c r="B1263" t="s">
        <v>52</v>
      </c>
      <c r="C1263" t="s">
        <v>25</v>
      </c>
      <c r="D1263" t="s">
        <v>43</v>
      </c>
      <c r="E1263" s="1">
        <v>44979</v>
      </c>
      <c r="F1263" s="1">
        <v>44982</v>
      </c>
      <c r="G1263">
        <v>25.7</v>
      </c>
      <c r="H1263">
        <v>159.21</v>
      </c>
      <c r="I1263" t="s">
        <v>16</v>
      </c>
      <c r="J1263">
        <v>1023</v>
      </c>
      <c r="K1263">
        <v>3</v>
      </c>
    </row>
    <row r="1264" spans="1:11">
      <c r="A1264" t="s">
        <v>1311</v>
      </c>
      <c r="B1264" t="s">
        <v>21</v>
      </c>
      <c r="C1264" t="s">
        <v>37</v>
      </c>
      <c r="D1264" t="s">
        <v>60</v>
      </c>
      <c r="E1264" s="1">
        <v>45077</v>
      </c>
      <c r="F1264" s="1">
        <v>45080</v>
      </c>
      <c r="G1264">
        <v>70.5</v>
      </c>
      <c r="H1264">
        <v>159.12</v>
      </c>
      <c r="I1264" t="s">
        <v>16</v>
      </c>
      <c r="J1264">
        <v>800</v>
      </c>
      <c r="K1264">
        <v>3</v>
      </c>
    </row>
    <row r="1265" spans="1:11">
      <c r="A1265" t="s">
        <v>1312</v>
      </c>
      <c r="B1265" t="s">
        <v>40</v>
      </c>
      <c r="C1265" t="s">
        <v>41</v>
      </c>
      <c r="D1265" t="s">
        <v>43</v>
      </c>
      <c r="E1265" s="1">
        <v>45172</v>
      </c>
      <c r="F1265" s="1">
        <v>45176</v>
      </c>
      <c r="G1265">
        <v>17</v>
      </c>
      <c r="H1265">
        <v>257.86</v>
      </c>
      <c r="I1265" t="s">
        <v>16</v>
      </c>
      <c r="J1265">
        <v>1985</v>
      </c>
      <c r="K1265">
        <v>4</v>
      </c>
    </row>
    <row r="1266" spans="1:11">
      <c r="A1266" t="s">
        <v>1313</v>
      </c>
      <c r="B1266" t="s">
        <v>50</v>
      </c>
      <c r="C1266" t="s">
        <v>37</v>
      </c>
      <c r="D1266" t="s">
        <v>43</v>
      </c>
      <c r="E1266" s="1">
        <v>45147</v>
      </c>
      <c r="F1266" s="1">
        <v>45150</v>
      </c>
      <c r="G1266">
        <v>36.4</v>
      </c>
      <c r="H1266">
        <v>77.58</v>
      </c>
      <c r="I1266" t="s">
        <v>16</v>
      </c>
      <c r="J1266">
        <v>243</v>
      </c>
      <c r="K1266">
        <v>3</v>
      </c>
    </row>
    <row r="1267" spans="1:11">
      <c r="A1267" t="s">
        <v>1314</v>
      </c>
      <c r="B1267" t="s">
        <v>24</v>
      </c>
      <c r="C1267" t="s">
        <v>37</v>
      </c>
      <c r="D1267" t="s">
        <v>15</v>
      </c>
      <c r="E1267" s="1">
        <v>45117</v>
      </c>
      <c r="F1267" s="1">
        <v>45124</v>
      </c>
      <c r="G1267">
        <v>16.399999999999999</v>
      </c>
      <c r="H1267">
        <v>265.38</v>
      </c>
      <c r="I1267" t="s">
        <v>16</v>
      </c>
      <c r="J1267">
        <v>1834</v>
      </c>
      <c r="K1267">
        <v>7</v>
      </c>
    </row>
    <row r="1268" spans="1:11">
      <c r="A1268" t="s">
        <v>1315</v>
      </c>
      <c r="B1268" t="s">
        <v>50</v>
      </c>
      <c r="C1268" t="s">
        <v>37</v>
      </c>
      <c r="D1268" t="s">
        <v>33</v>
      </c>
      <c r="E1268" s="1">
        <v>45164</v>
      </c>
      <c r="F1268" s="1">
        <v>45168</v>
      </c>
      <c r="G1268">
        <v>16.399999999999999</v>
      </c>
      <c r="H1268">
        <v>240.73</v>
      </c>
      <c r="I1268" t="s">
        <v>16</v>
      </c>
      <c r="J1268">
        <v>1726</v>
      </c>
      <c r="K1268">
        <v>4</v>
      </c>
    </row>
    <row r="1269" spans="1:11">
      <c r="A1269" t="s">
        <v>1316</v>
      </c>
      <c r="B1269" t="s">
        <v>21</v>
      </c>
      <c r="C1269" t="s">
        <v>37</v>
      </c>
      <c r="D1269" t="s">
        <v>38</v>
      </c>
      <c r="E1269" s="1">
        <v>44957</v>
      </c>
      <c r="F1269" s="1">
        <v>44960</v>
      </c>
      <c r="G1269">
        <v>9.6</v>
      </c>
      <c r="H1269">
        <v>153.94999999999999</v>
      </c>
      <c r="I1269" t="s">
        <v>16</v>
      </c>
      <c r="J1269">
        <v>1168</v>
      </c>
      <c r="K1269">
        <v>3</v>
      </c>
    </row>
    <row r="1270" spans="1:11">
      <c r="A1270" t="s">
        <v>1317</v>
      </c>
      <c r="B1270" t="s">
        <v>40</v>
      </c>
      <c r="C1270" t="s">
        <v>22</v>
      </c>
      <c r="D1270" t="s">
        <v>38</v>
      </c>
      <c r="E1270" s="1">
        <v>45102</v>
      </c>
      <c r="F1270" s="1">
        <v>45104</v>
      </c>
      <c r="G1270">
        <v>26.1</v>
      </c>
      <c r="H1270">
        <v>142.55000000000001</v>
      </c>
      <c r="I1270" t="s">
        <v>16</v>
      </c>
      <c r="J1270">
        <v>880</v>
      </c>
      <c r="K1270">
        <v>2</v>
      </c>
    </row>
    <row r="1271" spans="1:11">
      <c r="A1271" t="s">
        <v>1318</v>
      </c>
      <c r="B1271" t="s">
        <v>36</v>
      </c>
      <c r="C1271" t="s">
        <v>58</v>
      </c>
      <c r="D1271" t="s">
        <v>26</v>
      </c>
      <c r="E1271" s="1">
        <v>44967</v>
      </c>
      <c r="F1271" s="1">
        <v>44969</v>
      </c>
      <c r="G1271">
        <v>21.6</v>
      </c>
      <c r="H1271">
        <v>60.18</v>
      </c>
      <c r="I1271" t="s">
        <v>16</v>
      </c>
      <c r="J1271">
        <v>267</v>
      </c>
      <c r="K1271">
        <v>2</v>
      </c>
    </row>
    <row r="1272" spans="1:11">
      <c r="A1272" t="s">
        <v>1319</v>
      </c>
      <c r="B1272" t="s">
        <v>36</v>
      </c>
      <c r="C1272" t="s">
        <v>47</v>
      </c>
      <c r="D1272" t="s">
        <v>43</v>
      </c>
      <c r="E1272" s="1">
        <v>45111</v>
      </c>
      <c r="F1272" s="1">
        <v>45114</v>
      </c>
      <c r="G1272">
        <v>19.3</v>
      </c>
      <c r="H1272">
        <v>163.72999999999999</v>
      </c>
      <c r="I1272" t="s">
        <v>16</v>
      </c>
      <c r="J1272">
        <v>1097</v>
      </c>
      <c r="K1272">
        <v>3</v>
      </c>
    </row>
    <row r="1273" spans="1:11">
      <c r="A1273" t="s">
        <v>1320</v>
      </c>
      <c r="B1273" t="s">
        <v>24</v>
      </c>
      <c r="C1273" t="s">
        <v>41</v>
      </c>
      <c r="D1273" t="s">
        <v>15</v>
      </c>
      <c r="E1273" s="1">
        <v>45085</v>
      </c>
      <c r="F1273" s="1">
        <v>45087</v>
      </c>
      <c r="G1273">
        <v>10.5</v>
      </c>
      <c r="H1273">
        <v>56.72</v>
      </c>
      <c r="I1273" t="s">
        <v>16</v>
      </c>
      <c r="J1273">
        <v>329</v>
      </c>
      <c r="K1273">
        <v>2</v>
      </c>
    </row>
    <row r="1274" spans="1:11">
      <c r="A1274" t="s">
        <v>1321</v>
      </c>
      <c r="B1274" t="s">
        <v>31</v>
      </c>
      <c r="C1274" t="s">
        <v>25</v>
      </c>
      <c r="D1274" t="s">
        <v>33</v>
      </c>
      <c r="E1274" s="1">
        <v>45262</v>
      </c>
      <c r="F1274" s="1">
        <v>45266</v>
      </c>
      <c r="G1274">
        <v>30.9</v>
      </c>
      <c r="H1274">
        <v>196.94</v>
      </c>
      <c r="I1274" t="s">
        <v>16</v>
      </c>
      <c r="J1274">
        <v>880</v>
      </c>
      <c r="K1274">
        <v>4</v>
      </c>
    </row>
    <row r="1275" spans="1:11">
      <c r="A1275" t="s">
        <v>1322</v>
      </c>
      <c r="B1275" t="s">
        <v>40</v>
      </c>
      <c r="C1275" t="s">
        <v>71</v>
      </c>
      <c r="D1275" t="s">
        <v>43</v>
      </c>
      <c r="E1275" s="1">
        <v>44943</v>
      </c>
      <c r="F1275" s="1">
        <v>44946</v>
      </c>
      <c r="G1275">
        <v>12</v>
      </c>
      <c r="H1275">
        <v>59.08</v>
      </c>
      <c r="I1275" t="s">
        <v>63</v>
      </c>
      <c r="J1275">
        <v>376</v>
      </c>
      <c r="K1275">
        <v>3</v>
      </c>
    </row>
    <row r="1276" spans="1:11">
      <c r="A1276" t="s">
        <v>1323</v>
      </c>
      <c r="B1276" t="s">
        <v>40</v>
      </c>
      <c r="C1276" t="s">
        <v>41</v>
      </c>
      <c r="D1276" t="s">
        <v>33</v>
      </c>
      <c r="E1276" s="1">
        <v>45271</v>
      </c>
      <c r="F1276" s="1">
        <v>45279</v>
      </c>
      <c r="G1276">
        <v>13.7</v>
      </c>
      <c r="H1276">
        <v>383.07</v>
      </c>
      <c r="I1276" t="s">
        <v>16</v>
      </c>
      <c r="J1276">
        <v>2205</v>
      </c>
      <c r="K1276">
        <v>8</v>
      </c>
    </row>
    <row r="1277" spans="1:11">
      <c r="A1277" t="s">
        <v>1324</v>
      </c>
      <c r="B1277" t="s">
        <v>21</v>
      </c>
      <c r="C1277" t="s">
        <v>45</v>
      </c>
      <c r="D1277" t="s">
        <v>33</v>
      </c>
      <c r="E1277" s="1">
        <v>44934</v>
      </c>
      <c r="F1277" s="1">
        <v>44936</v>
      </c>
      <c r="G1277">
        <v>48.3</v>
      </c>
      <c r="H1277">
        <v>146.26</v>
      </c>
      <c r="I1277" t="s">
        <v>63</v>
      </c>
      <c r="J1277">
        <v>545</v>
      </c>
      <c r="K1277">
        <v>2</v>
      </c>
    </row>
    <row r="1278" spans="1:11">
      <c r="A1278" t="s">
        <v>1325</v>
      </c>
      <c r="B1278" t="s">
        <v>36</v>
      </c>
      <c r="C1278" t="s">
        <v>47</v>
      </c>
      <c r="D1278" t="s">
        <v>38</v>
      </c>
      <c r="E1278" s="1">
        <v>45180</v>
      </c>
      <c r="F1278" s="1">
        <v>45191</v>
      </c>
      <c r="G1278">
        <v>63.6</v>
      </c>
      <c r="H1278">
        <v>171.47</v>
      </c>
      <c r="I1278" t="s">
        <v>48</v>
      </c>
      <c r="J1278">
        <v>737</v>
      </c>
      <c r="K1278">
        <v>2</v>
      </c>
    </row>
    <row r="1279" spans="1:11">
      <c r="A1279" t="s">
        <v>1326</v>
      </c>
      <c r="B1279" t="s">
        <v>21</v>
      </c>
      <c r="C1279" t="s">
        <v>58</v>
      </c>
      <c r="D1279" t="s">
        <v>60</v>
      </c>
      <c r="E1279" s="1">
        <v>45062</v>
      </c>
      <c r="F1279" s="1">
        <v>45069</v>
      </c>
      <c r="G1279">
        <v>24</v>
      </c>
      <c r="H1279">
        <v>307.61</v>
      </c>
      <c r="I1279" t="s">
        <v>16</v>
      </c>
      <c r="J1279">
        <v>2479</v>
      </c>
      <c r="K1279">
        <v>7</v>
      </c>
    </row>
    <row r="1280" spans="1:11">
      <c r="A1280" t="s">
        <v>1327</v>
      </c>
      <c r="B1280" t="s">
        <v>21</v>
      </c>
      <c r="C1280" t="s">
        <v>29</v>
      </c>
      <c r="D1280" t="s">
        <v>43</v>
      </c>
      <c r="E1280" s="1">
        <v>45233</v>
      </c>
      <c r="F1280" s="1">
        <v>45238</v>
      </c>
      <c r="G1280">
        <v>35.700000000000003</v>
      </c>
      <c r="H1280">
        <v>268.47000000000003</v>
      </c>
      <c r="I1280" t="s">
        <v>16</v>
      </c>
      <c r="J1280">
        <v>1435</v>
      </c>
      <c r="K1280">
        <v>5</v>
      </c>
    </row>
    <row r="1281" spans="1:11">
      <c r="A1281" t="s">
        <v>1328</v>
      </c>
      <c r="B1281" t="s">
        <v>40</v>
      </c>
      <c r="C1281" t="s">
        <v>41</v>
      </c>
      <c r="D1281" t="s">
        <v>15</v>
      </c>
      <c r="E1281" s="1">
        <v>45130</v>
      </c>
      <c r="F1281" s="1">
        <v>45134</v>
      </c>
      <c r="G1281">
        <v>33.4</v>
      </c>
      <c r="H1281">
        <v>131.33000000000001</v>
      </c>
      <c r="I1281" t="s">
        <v>16</v>
      </c>
      <c r="J1281">
        <v>662</v>
      </c>
      <c r="K1281">
        <v>4</v>
      </c>
    </row>
    <row r="1282" spans="1:11">
      <c r="A1282" t="s">
        <v>1329</v>
      </c>
      <c r="B1282" t="s">
        <v>40</v>
      </c>
      <c r="C1282" t="s">
        <v>37</v>
      </c>
      <c r="D1282" t="s">
        <v>60</v>
      </c>
      <c r="E1282" s="1">
        <v>45255</v>
      </c>
      <c r="F1282" s="1">
        <v>45263</v>
      </c>
      <c r="G1282">
        <v>110.7</v>
      </c>
      <c r="H1282">
        <v>429.91</v>
      </c>
      <c r="I1282" t="s">
        <v>68</v>
      </c>
      <c r="J1282">
        <v>1985</v>
      </c>
      <c r="K1282">
        <v>8</v>
      </c>
    </row>
    <row r="1283" spans="1:11">
      <c r="A1283" t="s">
        <v>1330</v>
      </c>
      <c r="B1283" t="s">
        <v>52</v>
      </c>
      <c r="C1283" t="s">
        <v>41</v>
      </c>
      <c r="D1283" t="s">
        <v>26</v>
      </c>
      <c r="E1283" s="1">
        <v>45191</v>
      </c>
      <c r="F1283" s="1">
        <v>45211</v>
      </c>
      <c r="G1283">
        <v>22.5</v>
      </c>
      <c r="H1283">
        <v>304.33999999999997</v>
      </c>
      <c r="I1283" t="s">
        <v>48</v>
      </c>
      <c r="J1283">
        <v>2161</v>
      </c>
      <c r="K1283">
        <v>7</v>
      </c>
    </row>
    <row r="1284" spans="1:11">
      <c r="A1284" t="s">
        <v>1331</v>
      </c>
      <c r="B1284" t="s">
        <v>31</v>
      </c>
      <c r="C1284" t="s">
        <v>55</v>
      </c>
      <c r="D1284" t="s">
        <v>60</v>
      </c>
      <c r="E1284" s="1">
        <v>45210</v>
      </c>
      <c r="F1284" s="1">
        <v>45180</v>
      </c>
      <c r="G1284">
        <v>3.3</v>
      </c>
      <c r="H1284">
        <v>80</v>
      </c>
      <c r="I1284" t="s">
        <v>16</v>
      </c>
      <c r="J1284">
        <v>677</v>
      </c>
      <c r="K1284">
        <v>4</v>
      </c>
    </row>
    <row r="1285" spans="1:11">
      <c r="A1285" t="s">
        <v>1332</v>
      </c>
      <c r="B1285" t="s">
        <v>31</v>
      </c>
      <c r="C1285" t="s">
        <v>58</v>
      </c>
      <c r="D1285" t="s">
        <v>33</v>
      </c>
      <c r="E1285" s="1">
        <v>44956</v>
      </c>
      <c r="F1285" s="1">
        <v>44960</v>
      </c>
      <c r="G1285">
        <v>40.1</v>
      </c>
      <c r="H1285">
        <v>122.44</v>
      </c>
      <c r="I1285" t="s">
        <v>16</v>
      </c>
      <c r="J1285">
        <v>454</v>
      </c>
      <c r="K1285">
        <v>4</v>
      </c>
    </row>
    <row r="1286" spans="1:11">
      <c r="A1286" t="s">
        <v>1333</v>
      </c>
      <c r="B1286" t="s">
        <v>40</v>
      </c>
      <c r="C1286" t="s">
        <v>53</v>
      </c>
      <c r="D1286" t="s">
        <v>26</v>
      </c>
      <c r="E1286" s="1">
        <v>45236</v>
      </c>
      <c r="F1286" s="1">
        <v>45240</v>
      </c>
      <c r="G1286">
        <v>13.6</v>
      </c>
      <c r="H1286">
        <v>233.78</v>
      </c>
      <c r="I1286" t="s">
        <v>16</v>
      </c>
      <c r="J1286">
        <v>1402</v>
      </c>
      <c r="K1286">
        <v>4</v>
      </c>
    </row>
    <row r="1287" spans="1:11">
      <c r="A1287" t="s">
        <v>1334</v>
      </c>
      <c r="B1287" t="s">
        <v>28</v>
      </c>
      <c r="C1287" t="s">
        <v>55</v>
      </c>
      <c r="D1287" t="s">
        <v>19</v>
      </c>
      <c r="E1287" s="1">
        <v>45133</v>
      </c>
      <c r="F1287" s="1">
        <v>45136</v>
      </c>
      <c r="G1287">
        <v>24.5</v>
      </c>
      <c r="H1287">
        <v>70.28</v>
      </c>
      <c r="I1287" t="s">
        <v>16</v>
      </c>
      <c r="J1287">
        <v>244</v>
      </c>
      <c r="K1287">
        <v>3</v>
      </c>
    </row>
    <row r="1288" spans="1:11">
      <c r="A1288" t="s">
        <v>1335</v>
      </c>
      <c r="B1288" t="s">
        <v>21</v>
      </c>
      <c r="C1288" t="s">
        <v>45</v>
      </c>
      <c r="D1288" t="s">
        <v>26</v>
      </c>
      <c r="E1288" s="1">
        <v>45169</v>
      </c>
      <c r="F1288" s="1">
        <v>45172</v>
      </c>
      <c r="G1288">
        <v>23.1</v>
      </c>
      <c r="H1288">
        <v>157.08000000000001</v>
      </c>
      <c r="I1288" t="s">
        <v>16</v>
      </c>
      <c r="J1288">
        <v>1139</v>
      </c>
      <c r="K1288">
        <v>3</v>
      </c>
    </row>
    <row r="1289" spans="1:11">
      <c r="A1289" t="s">
        <v>1336</v>
      </c>
      <c r="B1289" t="s">
        <v>40</v>
      </c>
      <c r="C1289" t="s">
        <v>14</v>
      </c>
      <c r="D1289" t="s">
        <v>43</v>
      </c>
      <c r="E1289" s="1">
        <v>45112</v>
      </c>
      <c r="F1289" s="1">
        <v>45113</v>
      </c>
      <c r="G1289">
        <v>56.4</v>
      </c>
      <c r="H1289">
        <v>141.61000000000001</v>
      </c>
      <c r="I1289" t="s">
        <v>16</v>
      </c>
      <c r="J1289">
        <v>531</v>
      </c>
      <c r="K1289">
        <v>1</v>
      </c>
    </row>
    <row r="1290" spans="1:11">
      <c r="A1290" t="s">
        <v>1337</v>
      </c>
      <c r="B1290" t="s">
        <v>31</v>
      </c>
      <c r="C1290" t="s">
        <v>18</v>
      </c>
      <c r="D1290" t="s">
        <v>15</v>
      </c>
      <c r="E1290" s="1">
        <v>44990</v>
      </c>
      <c r="F1290" s="1">
        <v>44993</v>
      </c>
      <c r="G1290">
        <v>29.4</v>
      </c>
      <c r="H1290">
        <v>124.1</v>
      </c>
      <c r="I1290" t="s">
        <v>16</v>
      </c>
      <c r="J1290">
        <v>796</v>
      </c>
      <c r="K1290">
        <v>3</v>
      </c>
    </row>
    <row r="1291" spans="1:11">
      <c r="A1291" t="s">
        <v>1338</v>
      </c>
      <c r="B1291" t="s">
        <v>28</v>
      </c>
      <c r="C1291" t="s">
        <v>45</v>
      </c>
      <c r="D1291" t="s">
        <v>43</v>
      </c>
      <c r="E1291" s="1">
        <v>45233</v>
      </c>
      <c r="F1291" s="1">
        <v>45234</v>
      </c>
      <c r="G1291">
        <v>10.3</v>
      </c>
      <c r="H1291">
        <v>40.65</v>
      </c>
      <c r="I1291" t="s">
        <v>61</v>
      </c>
      <c r="J1291">
        <v>188</v>
      </c>
      <c r="K1291">
        <v>1</v>
      </c>
    </row>
    <row r="1292" spans="1:11">
      <c r="A1292" t="s">
        <v>1339</v>
      </c>
      <c r="B1292" t="s">
        <v>36</v>
      </c>
      <c r="C1292" t="s">
        <v>82</v>
      </c>
      <c r="D1292" t="s">
        <v>33</v>
      </c>
      <c r="E1292" s="1">
        <v>44991</v>
      </c>
      <c r="F1292" s="1">
        <v>44994</v>
      </c>
      <c r="G1292">
        <v>10.9</v>
      </c>
      <c r="H1292">
        <v>138.79</v>
      </c>
      <c r="I1292" t="s">
        <v>16</v>
      </c>
      <c r="J1292">
        <v>1000</v>
      </c>
      <c r="K1292">
        <v>3</v>
      </c>
    </row>
    <row r="1293" spans="1:11">
      <c r="A1293" t="s">
        <v>1340</v>
      </c>
      <c r="B1293" t="s">
        <v>13</v>
      </c>
      <c r="C1293" t="s">
        <v>58</v>
      </c>
      <c r="D1293" t="s">
        <v>38</v>
      </c>
      <c r="E1293" s="1">
        <v>45050</v>
      </c>
      <c r="F1293" s="1">
        <v>45055</v>
      </c>
      <c r="G1293">
        <v>42.1</v>
      </c>
      <c r="H1293">
        <v>344.29</v>
      </c>
      <c r="I1293" t="s">
        <v>68</v>
      </c>
      <c r="J1293">
        <v>2219</v>
      </c>
      <c r="K1293">
        <v>5</v>
      </c>
    </row>
    <row r="1294" spans="1:11">
      <c r="A1294" t="s">
        <v>1341</v>
      </c>
      <c r="B1294" t="s">
        <v>36</v>
      </c>
      <c r="C1294" t="s">
        <v>58</v>
      </c>
      <c r="D1294" t="s">
        <v>33</v>
      </c>
      <c r="E1294" s="1">
        <v>45237</v>
      </c>
      <c r="F1294" s="1">
        <v>45207</v>
      </c>
      <c r="G1294">
        <v>53</v>
      </c>
      <c r="H1294">
        <v>355.09</v>
      </c>
      <c r="I1294" t="s">
        <v>48</v>
      </c>
      <c r="J1294">
        <v>1709</v>
      </c>
      <c r="K1294">
        <v>4</v>
      </c>
    </row>
    <row r="1295" spans="1:11">
      <c r="A1295" t="s">
        <v>1342</v>
      </c>
      <c r="B1295" t="s">
        <v>31</v>
      </c>
      <c r="C1295" t="s">
        <v>29</v>
      </c>
      <c r="D1295" t="s">
        <v>60</v>
      </c>
      <c r="E1295" s="1">
        <v>44939</v>
      </c>
      <c r="F1295" s="1">
        <v>44944</v>
      </c>
      <c r="G1295">
        <v>25.4</v>
      </c>
      <c r="H1295">
        <v>245.02</v>
      </c>
      <c r="I1295" t="s">
        <v>16</v>
      </c>
      <c r="J1295">
        <v>2110</v>
      </c>
      <c r="K1295">
        <v>5</v>
      </c>
    </row>
    <row r="1296" spans="1:11">
      <c r="A1296" t="s">
        <v>1343</v>
      </c>
      <c r="B1296" t="s">
        <v>36</v>
      </c>
      <c r="C1296" t="s">
        <v>58</v>
      </c>
      <c r="D1296" t="s">
        <v>43</v>
      </c>
      <c r="E1296" s="1">
        <v>44927</v>
      </c>
      <c r="F1296" s="1">
        <v>44929</v>
      </c>
      <c r="G1296">
        <v>19.7</v>
      </c>
      <c r="H1296">
        <v>106.66</v>
      </c>
      <c r="I1296" t="s">
        <v>16</v>
      </c>
      <c r="J1296">
        <v>784</v>
      </c>
      <c r="K1296">
        <v>2</v>
      </c>
    </row>
    <row r="1297" spans="1:11">
      <c r="A1297" t="s">
        <v>1344</v>
      </c>
      <c r="B1297" t="s">
        <v>31</v>
      </c>
      <c r="C1297" t="s">
        <v>22</v>
      </c>
      <c r="D1297" t="s">
        <v>60</v>
      </c>
      <c r="E1297" s="1">
        <v>44928</v>
      </c>
      <c r="F1297" s="1">
        <v>44931</v>
      </c>
      <c r="G1297">
        <v>31.8</v>
      </c>
      <c r="H1297">
        <v>134.96</v>
      </c>
      <c r="I1297" t="s">
        <v>16</v>
      </c>
      <c r="J1297">
        <v>786</v>
      </c>
      <c r="K1297">
        <v>3</v>
      </c>
    </row>
    <row r="1298" spans="1:11">
      <c r="A1298" t="s">
        <v>1345</v>
      </c>
      <c r="B1298" t="s">
        <v>40</v>
      </c>
      <c r="C1298" t="s">
        <v>29</v>
      </c>
      <c r="D1298" t="s">
        <v>43</v>
      </c>
      <c r="E1298" s="1">
        <v>45239</v>
      </c>
      <c r="F1298" s="1">
        <v>45242</v>
      </c>
      <c r="G1298">
        <v>22.8</v>
      </c>
      <c r="H1298">
        <v>260.19</v>
      </c>
      <c r="I1298" t="s">
        <v>16</v>
      </c>
      <c r="J1298">
        <v>1512</v>
      </c>
      <c r="K1298">
        <v>3</v>
      </c>
    </row>
    <row r="1299" spans="1:11">
      <c r="A1299" t="s">
        <v>1346</v>
      </c>
      <c r="B1299" t="s">
        <v>50</v>
      </c>
      <c r="C1299" t="s">
        <v>37</v>
      </c>
      <c r="D1299" t="s">
        <v>43</v>
      </c>
      <c r="E1299" s="1">
        <v>45162</v>
      </c>
      <c r="F1299" s="1">
        <v>45167</v>
      </c>
      <c r="G1299">
        <v>10.1</v>
      </c>
      <c r="H1299">
        <v>185.32</v>
      </c>
      <c r="I1299" t="s">
        <v>16</v>
      </c>
      <c r="J1299">
        <v>1310</v>
      </c>
      <c r="K1299">
        <v>5</v>
      </c>
    </row>
    <row r="1300" spans="1:11">
      <c r="A1300" t="s">
        <v>1347</v>
      </c>
      <c r="B1300" t="s">
        <v>52</v>
      </c>
      <c r="C1300" t="s">
        <v>41</v>
      </c>
      <c r="D1300" t="s">
        <v>33</v>
      </c>
      <c r="E1300" s="1">
        <v>45085</v>
      </c>
      <c r="F1300" s="1">
        <v>45093</v>
      </c>
      <c r="G1300">
        <v>17.3</v>
      </c>
      <c r="H1300">
        <v>325.14</v>
      </c>
      <c r="I1300" t="s">
        <v>16</v>
      </c>
      <c r="J1300">
        <v>2398</v>
      </c>
      <c r="K1300">
        <v>8</v>
      </c>
    </row>
    <row r="1301" spans="1:11">
      <c r="A1301" t="s">
        <v>1348</v>
      </c>
      <c r="B1301" t="s">
        <v>13</v>
      </c>
      <c r="C1301" t="s">
        <v>14</v>
      </c>
      <c r="D1301" t="s">
        <v>38</v>
      </c>
      <c r="E1301" s="1">
        <v>45149</v>
      </c>
      <c r="F1301" s="1">
        <v>45153</v>
      </c>
      <c r="G1301">
        <v>24.5</v>
      </c>
      <c r="H1301">
        <v>191.05</v>
      </c>
      <c r="I1301" t="s">
        <v>16</v>
      </c>
      <c r="J1301">
        <v>1373</v>
      </c>
      <c r="K1301">
        <v>4</v>
      </c>
    </row>
    <row r="1302" spans="1:11">
      <c r="A1302" t="s">
        <v>1349</v>
      </c>
      <c r="B1302" t="s">
        <v>13</v>
      </c>
      <c r="C1302" t="s">
        <v>18</v>
      </c>
      <c r="D1302" t="s">
        <v>38</v>
      </c>
      <c r="E1302" s="1">
        <v>45174</v>
      </c>
      <c r="F1302" s="1">
        <v>45178</v>
      </c>
      <c r="G1302">
        <v>6.8</v>
      </c>
      <c r="H1302">
        <v>141.35</v>
      </c>
      <c r="I1302" t="s">
        <v>16</v>
      </c>
      <c r="J1302">
        <v>1036</v>
      </c>
      <c r="K1302">
        <v>4</v>
      </c>
    </row>
    <row r="1303" spans="1:11">
      <c r="A1303" t="s">
        <v>1350</v>
      </c>
      <c r="B1303" t="s">
        <v>13</v>
      </c>
      <c r="C1303" t="s">
        <v>14</v>
      </c>
      <c r="D1303" t="s">
        <v>26</v>
      </c>
      <c r="E1303" s="1">
        <v>45195</v>
      </c>
      <c r="F1303" s="1">
        <v>45199</v>
      </c>
      <c r="G1303">
        <v>40.5</v>
      </c>
      <c r="H1303">
        <v>147.62</v>
      </c>
      <c r="I1303" t="s">
        <v>16</v>
      </c>
      <c r="J1303">
        <v>894</v>
      </c>
      <c r="K1303">
        <v>4</v>
      </c>
    </row>
    <row r="1304" spans="1:11">
      <c r="A1304" t="s">
        <v>1351</v>
      </c>
      <c r="B1304" t="s">
        <v>24</v>
      </c>
      <c r="C1304" t="s">
        <v>32</v>
      </c>
      <c r="D1304" t="s">
        <v>19</v>
      </c>
      <c r="E1304" s="1">
        <v>44928</v>
      </c>
      <c r="F1304" s="1">
        <v>44932</v>
      </c>
      <c r="G1304">
        <v>41.8</v>
      </c>
      <c r="H1304">
        <v>254.48</v>
      </c>
      <c r="I1304" t="s">
        <v>16</v>
      </c>
      <c r="J1304">
        <v>1261</v>
      </c>
      <c r="K1304">
        <v>4</v>
      </c>
    </row>
    <row r="1305" spans="1:11">
      <c r="A1305" t="s">
        <v>1352</v>
      </c>
      <c r="B1305" t="s">
        <v>24</v>
      </c>
      <c r="C1305" t="s">
        <v>58</v>
      </c>
      <c r="D1305" t="s">
        <v>43</v>
      </c>
      <c r="E1305" s="1">
        <v>45139</v>
      </c>
      <c r="F1305" s="1">
        <v>45141</v>
      </c>
      <c r="G1305">
        <v>78.900000000000006</v>
      </c>
      <c r="H1305">
        <v>171.25</v>
      </c>
      <c r="I1305" t="s">
        <v>16</v>
      </c>
      <c r="J1305">
        <v>729</v>
      </c>
      <c r="K1305">
        <v>2</v>
      </c>
    </row>
    <row r="1306" spans="1:11">
      <c r="A1306" t="s">
        <v>1353</v>
      </c>
      <c r="B1306" t="s">
        <v>52</v>
      </c>
      <c r="C1306" t="s">
        <v>55</v>
      </c>
      <c r="D1306" t="s">
        <v>60</v>
      </c>
      <c r="E1306" s="1">
        <v>45285</v>
      </c>
      <c r="F1306" s="1">
        <v>45290</v>
      </c>
      <c r="G1306">
        <v>12.3</v>
      </c>
      <c r="H1306">
        <v>325.51</v>
      </c>
      <c r="I1306" t="s">
        <v>16</v>
      </c>
      <c r="J1306">
        <v>2145</v>
      </c>
      <c r="K1306">
        <v>5</v>
      </c>
    </row>
    <row r="1307" spans="1:11">
      <c r="A1307" t="s">
        <v>1354</v>
      </c>
      <c r="B1307" t="s">
        <v>40</v>
      </c>
      <c r="C1307" t="s">
        <v>58</v>
      </c>
      <c r="D1307" t="s">
        <v>26</v>
      </c>
      <c r="E1307" s="1">
        <v>45291</v>
      </c>
      <c r="F1307" s="1">
        <v>45296</v>
      </c>
      <c r="G1307">
        <v>55.7</v>
      </c>
      <c r="H1307">
        <v>335.88</v>
      </c>
      <c r="I1307" t="s">
        <v>16</v>
      </c>
      <c r="J1307">
        <v>1737</v>
      </c>
      <c r="K1307">
        <v>5</v>
      </c>
    </row>
    <row r="1308" spans="1:11">
      <c r="A1308" t="s">
        <v>1355</v>
      </c>
      <c r="B1308" t="s">
        <v>31</v>
      </c>
      <c r="C1308" t="s">
        <v>18</v>
      </c>
      <c r="D1308" t="s">
        <v>15</v>
      </c>
      <c r="E1308" s="1">
        <v>44941</v>
      </c>
      <c r="F1308" s="1">
        <v>44946</v>
      </c>
      <c r="G1308">
        <v>8.3000000000000007</v>
      </c>
      <c r="H1308">
        <v>275.36</v>
      </c>
      <c r="I1308" t="s">
        <v>16</v>
      </c>
      <c r="J1308">
        <v>1965</v>
      </c>
      <c r="K1308">
        <v>5</v>
      </c>
    </row>
    <row r="1309" spans="1:11">
      <c r="A1309" t="s">
        <v>1356</v>
      </c>
      <c r="B1309" t="s">
        <v>24</v>
      </c>
      <c r="C1309" t="s">
        <v>45</v>
      </c>
      <c r="D1309" t="s">
        <v>33</v>
      </c>
      <c r="E1309" s="1">
        <v>45215</v>
      </c>
      <c r="F1309" s="1">
        <v>45219</v>
      </c>
      <c r="G1309">
        <v>42.3</v>
      </c>
      <c r="H1309">
        <v>221.5</v>
      </c>
      <c r="I1309" t="s">
        <v>16</v>
      </c>
      <c r="J1309">
        <v>1178</v>
      </c>
      <c r="K1309">
        <v>4</v>
      </c>
    </row>
    <row r="1310" spans="1:11">
      <c r="A1310" t="s">
        <v>1357</v>
      </c>
      <c r="B1310" t="s">
        <v>21</v>
      </c>
      <c r="C1310" t="s">
        <v>53</v>
      </c>
      <c r="D1310" t="s">
        <v>19</v>
      </c>
      <c r="E1310" s="1">
        <v>44999</v>
      </c>
      <c r="F1310" s="1">
        <v>45003</v>
      </c>
      <c r="G1310">
        <v>7.6</v>
      </c>
      <c r="H1310">
        <v>61.28</v>
      </c>
      <c r="I1310" t="s">
        <v>16</v>
      </c>
      <c r="J1310">
        <v>373</v>
      </c>
      <c r="K1310">
        <v>4</v>
      </c>
    </row>
    <row r="1311" spans="1:11">
      <c r="A1311" t="s">
        <v>1358</v>
      </c>
      <c r="B1311" t="s">
        <v>28</v>
      </c>
      <c r="C1311" t="s">
        <v>47</v>
      </c>
      <c r="D1311" t="s">
        <v>43</v>
      </c>
      <c r="E1311" s="1">
        <v>45132</v>
      </c>
      <c r="F1311" s="1">
        <v>45144</v>
      </c>
      <c r="G1311">
        <v>4.5999999999999996</v>
      </c>
      <c r="H1311">
        <v>209.12</v>
      </c>
      <c r="I1311" t="s">
        <v>48</v>
      </c>
      <c r="J1311">
        <v>1868</v>
      </c>
      <c r="K1311">
        <v>6</v>
      </c>
    </row>
    <row r="1312" spans="1:11">
      <c r="A1312" t="s">
        <v>1359</v>
      </c>
      <c r="B1312" t="s">
        <v>28</v>
      </c>
      <c r="C1312" t="s">
        <v>45</v>
      </c>
      <c r="D1312" t="s">
        <v>19</v>
      </c>
      <c r="E1312" s="1">
        <v>45226</v>
      </c>
      <c r="F1312" s="1">
        <v>45230</v>
      </c>
      <c r="G1312">
        <v>11.1</v>
      </c>
      <c r="H1312">
        <v>100.08</v>
      </c>
      <c r="I1312" t="s">
        <v>16</v>
      </c>
      <c r="J1312">
        <v>640</v>
      </c>
      <c r="K1312">
        <v>4</v>
      </c>
    </row>
    <row r="1313" spans="1:11">
      <c r="A1313" t="s">
        <v>1360</v>
      </c>
      <c r="B1313" t="s">
        <v>28</v>
      </c>
      <c r="C1313" t="s">
        <v>32</v>
      </c>
      <c r="D1313" t="s">
        <v>43</v>
      </c>
      <c r="E1313" s="1">
        <v>45172</v>
      </c>
      <c r="F1313" s="1">
        <v>45175</v>
      </c>
      <c r="G1313">
        <v>7</v>
      </c>
      <c r="H1313">
        <v>204.47</v>
      </c>
      <c r="I1313" t="s">
        <v>16</v>
      </c>
      <c r="J1313">
        <v>1503</v>
      </c>
      <c r="K1313">
        <v>3</v>
      </c>
    </row>
    <row r="1314" spans="1:11">
      <c r="A1314" t="s">
        <v>1361</v>
      </c>
      <c r="B1314" t="s">
        <v>57</v>
      </c>
      <c r="C1314" t="s">
        <v>53</v>
      </c>
      <c r="D1314" t="s">
        <v>38</v>
      </c>
      <c r="E1314" s="1">
        <v>45234</v>
      </c>
      <c r="F1314" s="1">
        <v>45238</v>
      </c>
      <c r="G1314">
        <v>25.6</v>
      </c>
      <c r="H1314">
        <v>270.11</v>
      </c>
      <c r="I1314" t="s">
        <v>16</v>
      </c>
      <c r="J1314">
        <v>1671</v>
      </c>
      <c r="K1314">
        <v>4</v>
      </c>
    </row>
    <row r="1315" spans="1:11">
      <c r="A1315" t="s">
        <v>1362</v>
      </c>
      <c r="B1315" t="s">
        <v>31</v>
      </c>
      <c r="C1315" t="s">
        <v>22</v>
      </c>
      <c r="D1315" t="s">
        <v>26</v>
      </c>
      <c r="E1315" s="1">
        <v>45048</v>
      </c>
      <c r="F1315" s="1">
        <v>45055</v>
      </c>
      <c r="G1315">
        <v>16</v>
      </c>
      <c r="H1315">
        <v>322.60000000000002</v>
      </c>
      <c r="I1315" t="s">
        <v>16</v>
      </c>
      <c r="J1315">
        <v>2289</v>
      </c>
      <c r="K1315">
        <v>7</v>
      </c>
    </row>
    <row r="1316" spans="1:11">
      <c r="A1316" t="s">
        <v>1363</v>
      </c>
      <c r="B1316" t="s">
        <v>40</v>
      </c>
      <c r="C1316" t="s">
        <v>53</v>
      </c>
      <c r="D1316" t="s">
        <v>19</v>
      </c>
      <c r="E1316" s="1">
        <v>45154</v>
      </c>
      <c r="F1316" s="1">
        <v>45161</v>
      </c>
      <c r="G1316">
        <v>9.6</v>
      </c>
      <c r="H1316">
        <v>248.88</v>
      </c>
      <c r="I1316" t="s">
        <v>16</v>
      </c>
      <c r="J1316">
        <v>1664</v>
      </c>
      <c r="K1316">
        <v>7</v>
      </c>
    </row>
    <row r="1317" spans="1:11">
      <c r="A1317" t="s">
        <v>1364</v>
      </c>
      <c r="B1317" t="s">
        <v>24</v>
      </c>
      <c r="C1317" t="s">
        <v>22</v>
      </c>
      <c r="D1317" t="s">
        <v>38</v>
      </c>
      <c r="E1317" s="1">
        <v>45003</v>
      </c>
      <c r="F1317" s="1">
        <v>45005</v>
      </c>
      <c r="G1317">
        <v>28.8</v>
      </c>
      <c r="H1317">
        <v>93.05</v>
      </c>
      <c r="I1317" t="s">
        <v>61</v>
      </c>
      <c r="J1317">
        <v>499</v>
      </c>
      <c r="K1317">
        <v>2</v>
      </c>
    </row>
    <row r="1318" spans="1:11">
      <c r="A1318" t="s">
        <v>1365</v>
      </c>
      <c r="B1318" t="s">
        <v>50</v>
      </c>
      <c r="C1318" t="s">
        <v>45</v>
      </c>
      <c r="D1318" t="s">
        <v>60</v>
      </c>
      <c r="E1318" s="1">
        <v>44957</v>
      </c>
      <c r="F1318" s="1">
        <v>44963</v>
      </c>
      <c r="G1318">
        <v>34.6</v>
      </c>
      <c r="H1318">
        <v>280.52999999999997</v>
      </c>
      <c r="I1318" t="s">
        <v>16</v>
      </c>
      <c r="J1318">
        <v>2109</v>
      </c>
      <c r="K1318">
        <v>6</v>
      </c>
    </row>
    <row r="1319" spans="1:11">
      <c r="A1319" t="s">
        <v>1366</v>
      </c>
      <c r="B1319" t="s">
        <v>28</v>
      </c>
      <c r="C1319" t="s">
        <v>82</v>
      </c>
      <c r="D1319" t="s">
        <v>15</v>
      </c>
      <c r="E1319" s="1">
        <v>45028</v>
      </c>
      <c r="F1319" s="1">
        <v>45029</v>
      </c>
      <c r="G1319">
        <v>21</v>
      </c>
      <c r="H1319">
        <v>88.46</v>
      </c>
      <c r="I1319" t="s">
        <v>16</v>
      </c>
      <c r="J1319">
        <v>510</v>
      </c>
      <c r="K1319">
        <v>1</v>
      </c>
    </row>
    <row r="1320" spans="1:11">
      <c r="A1320" t="s">
        <v>1367</v>
      </c>
      <c r="B1320" t="s">
        <v>36</v>
      </c>
      <c r="C1320" t="s">
        <v>25</v>
      </c>
      <c r="D1320" t="s">
        <v>60</v>
      </c>
      <c r="E1320" s="1">
        <v>45087</v>
      </c>
      <c r="F1320" s="1">
        <v>45093</v>
      </c>
      <c r="G1320">
        <v>16.899999999999999</v>
      </c>
      <c r="H1320">
        <v>281.93</v>
      </c>
      <c r="I1320" t="s">
        <v>16</v>
      </c>
      <c r="J1320">
        <v>2329</v>
      </c>
      <c r="K1320">
        <v>6</v>
      </c>
    </row>
    <row r="1321" spans="1:11">
      <c r="A1321" t="s">
        <v>1368</v>
      </c>
      <c r="B1321" t="s">
        <v>36</v>
      </c>
      <c r="C1321" t="s">
        <v>22</v>
      </c>
      <c r="D1321" t="s">
        <v>15</v>
      </c>
      <c r="E1321" s="1">
        <v>45171</v>
      </c>
      <c r="F1321" s="1">
        <v>45176</v>
      </c>
      <c r="G1321">
        <v>21.6</v>
      </c>
      <c r="H1321">
        <v>251.91</v>
      </c>
      <c r="I1321" t="s">
        <v>16</v>
      </c>
      <c r="J1321">
        <v>2001</v>
      </c>
      <c r="K1321">
        <v>5</v>
      </c>
    </row>
    <row r="1322" spans="1:11">
      <c r="A1322" t="s">
        <v>1369</v>
      </c>
      <c r="B1322" t="s">
        <v>21</v>
      </c>
      <c r="C1322" t="s">
        <v>41</v>
      </c>
      <c r="D1322" t="s">
        <v>38</v>
      </c>
      <c r="E1322" s="1">
        <v>45195</v>
      </c>
      <c r="F1322" s="1">
        <v>45196</v>
      </c>
      <c r="G1322">
        <v>11.8</v>
      </c>
      <c r="H1322">
        <v>45.15</v>
      </c>
      <c r="I1322" t="s">
        <v>63</v>
      </c>
      <c r="J1322">
        <v>278</v>
      </c>
      <c r="K1322">
        <v>1</v>
      </c>
    </row>
    <row r="1323" spans="1:11">
      <c r="A1323" t="s">
        <v>1370</v>
      </c>
      <c r="B1323" t="s">
        <v>57</v>
      </c>
      <c r="C1323" t="s">
        <v>14</v>
      </c>
      <c r="D1323" t="s">
        <v>33</v>
      </c>
      <c r="E1323" s="1">
        <v>45289</v>
      </c>
      <c r="F1323" s="1">
        <v>45293</v>
      </c>
      <c r="G1323">
        <v>17.2</v>
      </c>
      <c r="H1323">
        <v>226.51</v>
      </c>
      <c r="I1323" t="s">
        <v>16</v>
      </c>
      <c r="J1323">
        <v>1179</v>
      </c>
      <c r="K1323">
        <v>4</v>
      </c>
    </row>
    <row r="1324" spans="1:11">
      <c r="A1324" t="s">
        <v>1371</v>
      </c>
      <c r="B1324" t="s">
        <v>24</v>
      </c>
      <c r="C1324" t="s">
        <v>41</v>
      </c>
      <c r="D1324" t="s">
        <v>43</v>
      </c>
      <c r="E1324" s="1">
        <v>45168</v>
      </c>
      <c r="F1324" s="1">
        <v>45173</v>
      </c>
      <c r="G1324">
        <v>25.7</v>
      </c>
      <c r="H1324">
        <v>62.58</v>
      </c>
      <c r="I1324" t="s">
        <v>16</v>
      </c>
      <c r="J1324">
        <v>251</v>
      </c>
      <c r="K1324">
        <v>5</v>
      </c>
    </row>
    <row r="1325" spans="1:11">
      <c r="A1325" t="s">
        <v>1372</v>
      </c>
      <c r="B1325" t="s">
        <v>50</v>
      </c>
      <c r="C1325" t="s">
        <v>41</v>
      </c>
      <c r="D1325" t="s">
        <v>15</v>
      </c>
      <c r="E1325" s="1">
        <v>44969</v>
      </c>
      <c r="F1325" s="1">
        <v>44984</v>
      </c>
      <c r="G1325">
        <v>48.2</v>
      </c>
      <c r="H1325">
        <v>79.739999999999995</v>
      </c>
      <c r="I1325" t="s">
        <v>48</v>
      </c>
      <c r="J1325">
        <v>205</v>
      </c>
      <c r="K1325">
        <v>2</v>
      </c>
    </row>
    <row r="1326" spans="1:11">
      <c r="A1326" t="s">
        <v>1373</v>
      </c>
      <c r="B1326" t="s">
        <v>21</v>
      </c>
      <c r="C1326" t="s">
        <v>71</v>
      </c>
      <c r="D1326" t="s">
        <v>15</v>
      </c>
      <c r="E1326" s="1">
        <v>44954</v>
      </c>
      <c r="F1326" s="1">
        <v>44957</v>
      </c>
      <c r="G1326">
        <v>51.5</v>
      </c>
      <c r="H1326">
        <v>165.79</v>
      </c>
      <c r="I1326" t="s">
        <v>16</v>
      </c>
      <c r="J1326">
        <v>926</v>
      </c>
      <c r="K1326">
        <v>3</v>
      </c>
    </row>
    <row r="1327" spans="1:11">
      <c r="A1327" t="s">
        <v>1374</v>
      </c>
      <c r="B1327" t="s">
        <v>28</v>
      </c>
      <c r="C1327" t="s">
        <v>41</v>
      </c>
      <c r="D1327" t="s">
        <v>26</v>
      </c>
      <c r="E1327" s="1">
        <v>45030</v>
      </c>
      <c r="F1327" s="1">
        <v>45033</v>
      </c>
      <c r="G1327">
        <v>26.6</v>
      </c>
      <c r="H1327">
        <v>68.27</v>
      </c>
      <c r="I1327" t="s">
        <v>68</v>
      </c>
      <c r="J1327">
        <v>365</v>
      </c>
      <c r="K1327">
        <v>3</v>
      </c>
    </row>
    <row r="1328" spans="1:11">
      <c r="A1328" t="s">
        <v>1375</v>
      </c>
      <c r="B1328" t="s">
        <v>28</v>
      </c>
      <c r="C1328" t="s">
        <v>37</v>
      </c>
      <c r="D1328" t="s">
        <v>15</v>
      </c>
      <c r="E1328" s="1">
        <v>45015</v>
      </c>
      <c r="F1328" s="1">
        <v>45019</v>
      </c>
      <c r="G1328">
        <v>127</v>
      </c>
      <c r="H1328">
        <v>342.1</v>
      </c>
      <c r="I1328" t="s">
        <v>16</v>
      </c>
      <c r="J1328">
        <v>1334</v>
      </c>
      <c r="K1328">
        <v>4</v>
      </c>
    </row>
    <row r="1329" spans="1:11">
      <c r="A1329" t="s">
        <v>1376</v>
      </c>
      <c r="B1329" t="s">
        <v>31</v>
      </c>
      <c r="C1329" t="s">
        <v>29</v>
      </c>
      <c r="D1329" t="s">
        <v>15</v>
      </c>
      <c r="E1329" s="1">
        <v>45027</v>
      </c>
      <c r="F1329" s="1">
        <v>45029</v>
      </c>
      <c r="G1329">
        <v>25.9</v>
      </c>
      <c r="H1329">
        <v>70.31</v>
      </c>
      <c r="I1329" t="s">
        <v>16</v>
      </c>
      <c r="J1329">
        <v>326</v>
      </c>
      <c r="K1329">
        <v>2</v>
      </c>
    </row>
    <row r="1330" spans="1:11">
      <c r="A1330" t="s">
        <v>1377</v>
      </c>
      <c r="B1330" t="s">
        <v>24</v>
      </c>
      <c r="C1330" t="s">
        <v>25</v>
      </c>
      <c r="D1330" t="s">
        <v>26</v>
      </c>
      <c r="E1330" s="1">
        <v>44980</v>
      </c>
      <c r="F1330" s="1">
        <v>44987</v>
      </c>
      <c r="G1330">
        <v>13.2</v>
      </c>
      <c r="H1330">
        <v>300.36</v>
      </c>
      <c r="I1330" t="s">
        <v>16</v>
      </c>
      <c r="J1330">
        <v>2207</v>
      </c>
      <c r="K1330">
        <v>7</v>
      </c>
    </row>
    <row r="1331" spans="1:11">
      <c r="A1331" t="s">
        <v>1378</v>
      </c>
      <c r="B1331" t="s">
        <v>50</v>
      </c>
      <c r="C1331" t="s">
        <v>22</v>
      </c>
      <c r="D1331" t="s">
        <v>26</v>
      </c>
      <c r="E1331" s="1">
        <v>45289</v>
      </c>
      <c r="F1331" s="1">
        <v>45292</v>
      </c>
      <c r="G1331">
        <v>14.2</v>
      </c>
      <c r="H1331">
        <v>109.64</v>
      </c>
      <c r="I1331" t="s">
        <v>16</v>
      </c>
      <c r="J1331">
        <v>656</v>
      </c>
      <c r="K1331">
        <v>3</v>
      </c>
    </row>
    <row r="1332" spans="1:11">
      <c r="A1332" t="s">
        <v>1379</v>
      </c>
      <c r="B1332" t="s">
        <v>50</v>
      </c>
      <c r="C1332" t="s">
        <v>37</v>
      </c>
      <c r="D1332" t="s">
        <v>43</v>
      </c>
      <c r="E1332" s="1">
        <v>45103</v>
      </c>
      <c r="F1332" s="1">
        <v>45106</v>
      </c>
      <c r="G1332">
        <v>16.600000000000001</v>
      </c>
      <c r="H1332">
        <v>105.6</v>
      </c>
      <c r="I1332" t="s">
        <v>16</v>
      </c>
      <c r="J1332">
        <v>761</v>
      </c>
      <c r="K1332">
        <v>3</v>
      </c>
    </row>
    <row r="1333" spans="1:11">
      <c r="A1333" t="s">
        <v>1380</v>
      </c>
      <c r="B1333" t="s">
        <v>52</v>
      </c>
      <c r="C1333" t="s">
        <v>22</v>
      </c>
      <c r="D1333" t="s">
        <v>33</v>
      </c>
      <c r="E1333" s="1">
        <v>44928</v>
      </c>
      <c r="F1333" s="1">
        <v>44933</v>
      </c>
      <c r="G1333">
        <v>17.8</v>
      </c>
      <c r="H1333">
        <v>196.28</v>
      </c>
      <c r="I1333" t="s">
        <v>16</v>
      </c>
      <c r="J1333">
        <v>1322</v>
      </c>
      <c r="K1333">
        <v>5</v>
      </c>
    </row>
    <row r="1334" spans="1:11">
      <c r="A1334" t="s">
        <v>1381</v>
      </c>
      <c r="B1334" t="s">
        <v>21</v>
      </c>
      <c r="C1334" t="s">
        <v>22</v>
      </c>
      <c r="D1334" t="s">
        <v>19</v>
      </c>
      <c r="E1334" s="1">
        <v>45128</v>
      </c>
      <c r="F1334" s="1">
        <v>45134</v>
      </c>
      <c r="G1334">
        <v>57.2</v>
      </c>
      <c r="H1334">
        <v>339.55</v>
      </c>
      <c r="I1334" t="s">
        <v>16</v>
      </c>
      <c r="J1334">
        <v>1933</v>
      </c>
      <c r="K1334">
        <v>6</v>
      </c>
    </row>
    <row r="1335" spans="1:11">
      <c r="A1335" t="s">
        <v>1382</v>
      </c>
      <c r="B1335" t="s">
        <v>36</v>
      </c>
      <c r="C1335" t="s">
        <v>14</v>
      </c>
      <c r="D1335" t="s">
        <v>38</v>
      </c>
      <c r="E1335" s="1">
        <v>45017</v>
      </c>
      <c r="G1335">
        <v>9</v>
      </c>
      <c r="H1335">
        <v>67.94</v>
      </c>
      <c r="I1335" t="s">
        <v>48</v>
      </c>
      <c r="J1335">
        <v>435</v>
      </c>
      <c r="K1335">
        <v>2</v>
      </c>
    </row>
    <row r="1336" spans="1:11">
      <c r="A1336" t="s">
        <v>1383</v>
      </c>
      <c r="B1336" t="s">
        <v>36</v>
      </c>
      <c r="C1336" t="s">
        <v>53</v>
      </c>
      <c r="D1336" t="s">
        <v>19</v>
      </c>
      <c r="E1336" s="1">
        <v>45033</v>
      </c>
      <c r="F1336" s="1">
        <v>45038</v>
      </c>
      <c r="G1336">
        <v>52.4</v>
      </c>
      <c r="H1336">
        <v>339.51</v>
      </c>
      <c r="I1336" t="s">
        <v>16</v>
      </c>
      <c r="J1336">
        <v>1949</v>
      </c>
      <c r="K1336">
        <v>5</v>
      </c>
    </row>
    <row r="1337" spans="1:11">
      <c r="A1337" t="s">
        <v>1384</v>
      </c>
      <c r="B1337" t="s">
        <v>21</v>
      </c>
      <c r="C1337" t="s">
        <v>82</v>
      </c>
      <c r="D1337" t="s">
        <v>43</v>
      </c>
      <c r="E1337" s="1">
        <v>45166</v>
      </c>
      <c r="F1337" s="1">
        <v>45172</v>
      </c>
      <c r="G1337">
        <v>20.5</v>
      </c>
      <c r="H1337">
        <v>105.64</v>
      </c>
      <c r="I1337" t="s">
        <v>16</v>
      </c>
      <c r="J1337">
        <v>638</v>
      </c>
      <c r="K1337">
        <v>6</v>
      </c>
    </row>
    <row r="1338" spans="1:11">
      <c r="A1338" t="s">
        <v>1385</v>
      </c>
      <c r="B1338" t="s">
        <v>36</v>
      </c>
      <c r="C1338" t="s">
        <v>82</v>
      </c>
      <c r="D1338" t="s">
        <v>60</v>
      </c>
      <c r="E1338" s="1">
        <v>45148</v>
      </c>
      <c r="F1338" s="1">
        <v>45151</v>
      </c>
      <c r="G1338">
        <v>21.5</v>
      </c>
      <c r="H1338">
        <v>127.75</v>
      </c>
      <c r="I1338" t="s">
        <v>63</v>
      </c>
      <c r="J1338">
        <v>1000</v>
      </c>
      <c r="K1338">
        <v>3</v>
      </c>
    </row>
    <row r="1339" spans="1:11">
      <c r="A1339" t="s">
        <v>1386</v>
      </c>
      <c r="B1339" t="s">
        <v>57</v>
      </c>
      <c r="C1339" t="s">
        <v>45</v>
      </c>
      <c r="D1339" t="s">
        <v>38</v>
      </c>
      <c r="E1339" s="1">
        <v>45270</v>
      </c>
      <c r="F1339" s="1">
        <v>45275</v>
      </c>
      <c r="G1339">
        <v>34.9</v>
      </c>
      <c r="H1339">
        <v>296.79000000000002</v>
      </c>
      <c r="I1339" t="s">
        <v>16</v>
      </c>
      <c r="J1339">
        <v>1876</v>
      </c>
      <c r="K1339">
        <v>5</v>
      </c>
    </row>
    <row r="1340" spans="1:11">
      <c r="A1340" t="s">
        <v>1387</v>
      </c>
      <c r="B1340" t="s">
        <v>40</v>
      </c>
      <c r="C1340" t="s">
        <v>14</v>
      </c>
      <c r="D1340" t="s">
        <v>33</v>
      </c>
      <c r="E1340" s="1">
        <v>45217</v>
      </c>
      <c r="F1340" s="1">
        <v>45223</v>
      </c>
      <c r="G1340">
        <v>73</v>
      </c>
      <c r="H1340">
        <v>347.07</v>
      </c>
      <c r="I1340" t="s">
        <v>16</v>
      </c>
      <c r="J1340">
        <v>1762</v>
      </c>
      <c r="K1340">
        <v>6</v>
      </c>
    </row>
    <row r="1341" spans="1:11">
      <c r="A1341" t="s">
        <v>1388</v>
      </c>
      <c r="B1341" t="s">
        <v>31</v>
      </c>
      <c r="C1341" t="s">
        <v>55</v>
      </c>
      <c r="D1341" t="s">
        <v>38</v>
      </c>
      <c r="E1341" s="1">
        <v>45195</v>
      </c>
      <c r="F1341" s="1">
        <v>45199</v>
      </c>
      <c r="G1341">
        <v>37.9</v>
      </c>
      <c r="H1341">
        <v>183.19</v>
      </c>
      <c r="I1341" t="s">
        <v>16</v>
      </c>
      <c r="J1341">
        <v>1274</v>
      </c>
      <c r="K1341">
        <v>4</v>
      </c>
    </row>
    <row r="1342" spans="1:11">
      <c r="A1342" t="s">
        <v>1389</v>
      </c>
      <c r="B1342" t="s">
        <v>31</v>
      </c>
      <c r="C1342" t="s">
        <v>47</v>
      </c>
      <c r="D1342" t="s">
        <v>60</v>
      </c>
      <c r="E1342" s="1">
        <v>45279</v>
      </c>
      <c r="F1342" s="1">
        <v>45284</v>
      </c>
      <c r="G1342">
        <v>80.099999999999994</v>
      </c>
      <c r="H1342">
        <v>423.48</v>
      </c>
      <c r="I1342" t="s">
        <v>61</v>
      </c>
      <c r="J1342">
        <v>2412</v>
      </c>
      <c r="K1342">
        <v>5</v>
      </c>
    </row>
    <row r="1343" spans="1:11">
      <c r="A1343" t="s">
        <v>1390</v>
      </c>
      <c r="B1343" t="s">
        <v>52</v>
      </c>
      <c r="C1343" t="s">
        <v>22</v>
      </c>
      <c r="D1343" t="s">
        <v>33</v>
      </c>
      <c r="E1343" s="1">
        <v>44994</v>
      </c>
      <c r="F1343" s="1">
        <v>44996</v>
      </c>
      <c r="G1343">
        <v>28.5</v>
      </c>
      <c r="H1343">
        <v>54.64</v>
      </c>
      <c r="I1343" t="s">
        <v>16</v>
      </c>
      <c r="J1343">
        <v>131</v>
      </c>
      <c r="K1343">
        <v>2</v>
      </c>
    </row>
    <row r="1344" spans="1:11">
      <c r="A1344" t="s">
        <v>1391</v>
      </c>
      <c r="B1344" t="s">
        <v>24</v>
      </c>
      <c r="C1344" t="s">
        <v>58</v>
      </c>
      <c r="D1344" t="s">
        <v>38</v>
      </c>
      <c r="E1344" s="1">
        <v>44939</v>
      </c>
      <c r="F1344" s="1">
        <v>44945</v>
      </c>
      <c r="G1344">
        <v>27.9</v>
      </c>
      <c r="H1344">
        <v>311.69</v>
      </c>
      <c r="I1344" t="s">
        <v>16</v>
      </c>
      <c r="J1344">
        <v>2297</v>
      </c>
      <c r="K1344">
        <v>6</v>
      </c>
    </row>
    <row r="1345" spans="1:11">
      <c r="A1345" t="s">
        <v>1392</v>
      </c>
      <c r="B1345" t="s">
        <v>50</v>
      </c>
      <c r="C1345" t="s">
        <v>18</v>
      </c>
      <c r="D1345" t="s">
        <v>33</v>
      </c>
      <c r="E1345" s="1">
        <v>45189</v>
      </c>
      <c r="F1345" s="1">
        <v>45195</v>
      </c>
      <c r="G1345">
        <v>11.9</v>
      </c>
      <c r="H1345">
        <v>263.5</v>
      </c>
      <c r="I1345" t="s">
        <v>16</v>
      </c>
      <c r="J1345">
        <v>1772</v>
      </c>
      <c r="K1345">
        <v>6</v>
      </c>
    </row>
    <row r="1346" spans="1:11">
      <c r="A1346" t="s">
        <v>1393</v>
      </c>
      <c r="B1346" t="s">
        <v>24</v>
      </c>
      <c r="C1346" t="s">
        <v>41</v>
      </c>
      <c r="D1346" t="s">
        <v>60</v>
      </c>
      <c r="E1346" s="1">
        <v>45050</v>
      </c>
      <c r="F1346" s="1">
        <v>45056</v>
      </c>
      <c r="G1346">
        <v>18.7</v>
      </c>
      <c r="H1346">
        <v>264.01</v>
      </c>
      <c r="I1346" t="s">
        <v>16</v>
      </c>
      <c r="J1346">
        <v>2316</v>
      </c>
      <c r="K1346">
        <v>6</v>
      </c>
    </row>
    <row r="1347" spans="1:11">
      <c r="A1347" t="s">
        <v>1394</v>
      </c>
      <c r="B1347" t="s">
        <v>52</v>
      </c>
      <c r="C1347" t="s">
        <v>45</v>
      </c>
      <c r="D1347" t="s">
        <v>60</v>
      </c>
      <c r="E1347" s="1">
        <v>45024</v>
      </c>
      <c r="F1347" s="1">
        <v>45027</v>
      </c>
      <c r="G1347">
        <v>26.3</v>
      </c>
      <c r="H1347">
        <v>113.91</v>
      </c>
      <c r="I1347" t="s">
        <v>16</v>
      </c>
      <c r="J1347">
        <v>790</v>
      </c>
      <c r="K1347">
        <v>3</v>
      </c>
    </row>
    <row r="1348" spans="1:11">
      <c r="A1348" t="s">
        <v>1395</v>
      </c>
      <c r="B1348" t="s">
        <v>52</v>
      </c>
      <c r="C1348" t="s">
        <v>58</v>
      </c>
      <c r="D1348" t="s">
        <v>33</v>
      </c>
      <c r="E1348" s="1">
        <v>45128</v>
      </c>
      <c r="F1348" s="1">
        <v>45133</v>
      </c>
      <c r="G1348">
        <v>50.9</v>
      </c>
      <c r="H1348">
        <v>324.7</v>
      </c>
      <c r="I1348" t="s">
        <v>16</v>
      </c>
      <c r="J1348">
        <v>2180</v>
      </c>
      <c r="K1348">
        <v>5</v>
      </c>
    </row>
    <row r="1349" spans="1:11">
      <c r="A1349" t="s">
        <v>1396</v>
      </c>
      <c r="B1349" t="s">
        <v>40</v>
      </c>
      <c r="C1349" t="s">
        <v>14</v>
      </c>
      <c r="D1349" t="s">
        <v>15</v>
      </c>
      <c r="E1349" s="1">
        <v>44987</v>
      </c>
      <c r="F1349" s="1">
        <v>44992</v>
      </c>
      <c r="G1349">
        <v>47.2</v>
      </c>
      <c r="H1349">
        <v>231.01</v>
      </c>
      <c r="I1349" t="s">
        <v>16</v>
      </c>
      <c r="J1349">
        <v>1362</v>
      </c>
      <c r="K1349">
        <v>5</v>
      </c>
    </row>
    <row r="1350" spans="1:11">
      <c r="A1350" t="s">
        <v>1397</v>
      </c>
      <c r="B1350" t="s">
        <v>21</v>
      </c>
      <c r="C1350" t="s">
        <v>53</v>
      </c>
      <c r="D1350" t="s">
        <v>15</v>
      </c>
      <c r="E1350" s="1">
        <v>44935</v>
      </c>
      <c r="F1350" s="1">
        <v>44939</v>
      </c>
      <c r="G1350">
        <v>13</v>
      </c>
      <c r="H1350">
        <v>59.81</v>
      </c>
      <c r="I1350" t="s">
        <v>16</v>
      </c>
      <c r="J1350">
        <v>373</v>
      </c>
      <c r="K1350">
        <v>4</v>
      </c>
    </row>
    <row r="1351" spans="1:11">
      <c r="A1351" t="s">
        <v>1398</v>
      </c>
      <c r="B1351" t="s">
        <v>21</v>
      </c>
      <c r="C1351" t="s">
        <v>45</v>
      </c>
      <c r="D1351" t="s">
        <v>43</v>
      </c>
      <c r="E1351" s="1">
        <v>45252</v>
      </c>
      <c r="F1351" s="1">
        <v>45257</v>
      </c>
      <c r="G1351">
        <v>43.7</v>
      </c>
      <c r="H1351">
        <v>283.67</v>
      </c>
      <c r="I1351" t="s">
        <v>16</v>
      </c>
      <c r="J1351">
        <v>1750</v>
      </c>
      <c r="K1351">
        <v>5</v>
      </c>
    </row>
    <row r="1352" spans="1:11">
      <c r="A1352" t="s">
        <v>1399</v>
      </c>
      <c r="B1352" t="s">
        <v>21</v>
      </c>
      <c r="C1352" t="s">
        <v>82</v>
      </c>
      <c r="D1352" t="s">
        <v>19</v>
      </c>
      <c r="E1352" s="1">
        <v>45052</v>
      </c>
      <c r="F1352" s="1">
        <v>45055</v>
      </c>
      <c r="G1352">
        <v>4.0999999999999996</v>
      </c>
      <c r="H1352">
        <v>168.66</v>
      </c>
      <c r="I1352" t="s">
        <v>16</v>
      </c>
      <c r="J1352">
        <v>1178</v>
      </c>
      <c r="K1352">
        <v>3</v>
      </c>
    </row>
    <row r="1353" spans="1:11">
      <c r="A1353" t="s">
        <v>1400</v>
      </c>
      <c r="B1353" t="s">
        <v>28</v>
      </c>
      <c r="C1353" t="s">
        <v>41</v>
      </c>
      <c r="D1353" t="s">
        <v>19</v>
      </c>
      <c r="E1353" s="1">
        <v>45023</v>
      </c>
      <c r="F1353" s="1">
        <v>45039</v>
      </c>
      <c r="G1353">
        <v>22.1</v>
      </c>
      <c r="H1353">
        <v>381.8</v>
      </c>
      <c r="I1353" t="s">
        <v>48</v>
      </c>
      <c r="J1353">
        <v>2348</v>
      </c>
      <c r="K1353">
        <v>7</v>
      </c>
    </row>
    <row r="1354" spans="1:11">
      <c r="A1354" t="s">
        <v>1401</v>
      </c>
      <c r="B1354" t="s">
        <v>24</v>
      </c>
      <c r="C1354" t="s">
        <v>71</v>
      </c>
      <c r="D1354" t="s">
        <v>60</v>
      </c>
      <c r="E1354" s="1">
        <v>44927</v>
      </c>
      <c r="F1354" s="1">
        <v>44932</v>
      </c>
      <c r="G1354">
        <v>10.7</v>
      </c>
      <c r="H1354">
        <v>246.62</v>
      </c>
      <c r="I1354" t="s">
        <v>63</v>
      </c>
      <c r="J1354">
        <v>2185</v>
      </c>
      <c r="K1354">
        <v>5</v>
      </c>
    </row>
    <row r="1355" spans="1:11">
      <c r="A1355" t="s">
        <v>1402</v>
      </c>
      <c r="B1355" t="s">
        <v>57</v>
      </c>
      <c r="C1355" t="s">
        <v>25</v>
      </c>
      <c r="D1355" t="s">
        <v>26</v>
      </c>
      <c r="E1355" s="1">
        <v>44977</v>
      </c>
      <c r="F1355" s="1">
        <v>44983</v>
      </c>
      <c r="G1355">
        <v>25.1</v>
      </c>
      <c r="H1355">
        <v>298.55</v>
      </c>
      <c r="I1355" t="s">
        <v>16</v>
      </c>
      <c r="J1355">
        <v>2095</v>
      </c>
      <c r="K1355">
        <v>6</v>
      </c>
    </row>
    <row r="1356" spans="1:11">
      <c r="A1356" t="s">
        <v>1403</v>
      </c>
      <c r="B1356" t="s">
        <v>40</v>
      </c>
      <c r="C1356" t="s">
        <v>25</v>
      </c>
      <c r="D1356" t="s">
        <v>26</v>
      </c>
      <c r="E1356" s="1">
        <v>44955</v>
      </c>
      <c r="F1356" s="1">
        <v>44956</v>
      </c>
      <c r="G1356">
        <v>24.3</v>
      </c>
      <c r="H1356">
        <v>115.18</v>
      </c>
      <c r="I1356" t="s">
        <v>16</v>
      </c>
      <c r="J1356">
        <v>663</v>
      </c>
      <c r="K1356">
        <v>1</v>
      </c>
    </row>
    <row r="1357" spans="1:11">
      <c r="A1357" t="s">
        <v>1404</v>
      </c>
      <c r="B1357" t="s">
        <v>13</v>
      </c>
      <c r="C1357" t="s">
        <v>82</v>
      </c>
      <c r="D1357" t="s">
        <v>60</v>
      </c>
      <c r="E1357" s="1">
        <v>45043</v>
      </c>
      <c r="F1357" s="1">
        <v>45048</v>
      </c>
      <c r="G1357">
        <v>8.6</v>
      </c>
      <c r="H1357">
        <v>232.52</v>
      </c>
      <c r="I1357" t="s">
        <v>16</v>
      </c>
      <c r="J1357">
        <v>2054</v>
      </c>
      <c r="K1357">
        <v>5</v>
      </c>
    </row>
    <row r="1358" spans="1:11">
      <c r="A1358" t="s">
        <v>1405</v>
      </c>
      <c r="B1358" t="s">
        <v>50</v>
      </c>
      <c r="C1358" t="s">
        <v>25</v>
      </c>
      <c r="D1358" t="s">
        <v>43</v>
      </c>
      <c r="E1358" s="1">
        <v>45267</v>
      </c>
      <c r="F1358" s="1">
        <v>45273</v>
      </c>
      <c r="G1358">
        <v>5.3</v>
      </c>
      <c r="H1358">
        <v>325.32</v>
      </c>
      <c r="I1358" t="s">
        <v>16</v>
      </c>
      <c r="J1358">
        <v>2197</v>
      </c>
      <c r="K1358">
        <v>6</v>
      </c>
    </row>
    <row r="1359" spans="1:11">
      <c r="A1359" t="s">
        <v>1406</v>
      </c>
      <c r="B1359" t="s">
        <v>36</v>
      </c>
      <c r="C1359" t="s">
        <v>58</v>
      </c>
      <c r="D1359" t="s">
        <v>43</v>
      </c>
      <c r="E1359" s="1">
        <v>44932</v>
      </c>
      <c r="F1359" s="1">
        <v>44938</v>
      </c>
      <c r="G1359">
        <v>5.7</v>
      </c>
      <c r="H1359">
        <v>29.11</v>
      </c>
      <c r="I1359" t="s">
        <v>16</v>
      </c>
      <c r="J1359">
        <v>2368</v>
      </c>
      <c r="K1359">
        <v>6</v>
      </c>
    </row>
    <row r="1360" spans="1:11">
      <c r="A1360" t="s">
        <v>1407</v>
      </c>
      <c r="B1360" t="s">
        <v>24</v>
      </c>
      <c r="C1360" t="s">
        <v>45</v>
      </c>
      <c r="D1360" t="s">
        <v>60</v>
      </c>
      <c r="E1360" s="1">
        <v>44982</v>
      </c>
      <c r="F1360" s="1">
        <v>44988</v>
      </c>
      <c r="G1360">
        <v>29.3</v>
      </c>
      <c r="H1360">
        <v>277.17</v>
      </c>
      <c r="I1360" t="s">
        <v>16</v>
      </c>
      <c r="J1360">
        <v>1989</v>
      </c>
      <c r="K1360">
        <v>6</v>
      </c>
    </row>
    <row r="1361" spans="1:11">
      <c r="A1361" t="s">
        <v>1408</v>
      </c>
      <c r="B1361" t="s">
        <v>21</v>
      </c>
      <c r="C1361" t="s">
        <v>41</v>
      </c>
      <c r="D1361" t="s">
        <v>15</v>
      </c>
      <c r="E1361" s="1">
        <v>45209</v>
      </c>
      <c r="F1361" s="1">
        <v>45220</v>
      </c>
      <c r="G1361">
        <v>47.8</v>
      </c>
      <c r="H1361">
        <v>169.45</v>
      </c>
      <c r="I1361" t="s">
        <v>48</v>
      </c>
      <c r="J1361">
        <v>845</v>
      </c>
      <c r="K1361">
        <v>5</v>
      </c>
    </row>
    <row r="1362" spans="1:11">
      <c r="A1362" t="s">
        <v>1409</v>
      </c>
      <c r="B1362" t="s">
        <v>28</v>
      </c>
      <c r="C1362" t="s">
        <v>53</v>
      </c>
      <c r="D1362" t="s">
        <v>26</v>
      </c>
      <c r="E1362" s="1">
        <v>45185</v>
      </c>
      <c r="F1362" s="1">
        <v>45199</v>
      </c>
      <c r="G1362">
        <v>21.2</v>
      </c>
      <c r="H1362">
        <v>45.18</v>
      </c>
      <c r="I1362" t="s">
        <v>48</v>
      </c>
      <c r="J1362">
        <v>130</v>
      </c>
      <c r="K1362">
        <v>2</v>
      </c>
    </row>
    <row r="1363" spans="1:11">
      <c r="A1363" t="s">
        <v>1410</v>
      </c>
      <c r="B1363" t="s">
        <v>40</v>
      </c>
      <c r="C1363" t="s">
        <v>53</v>
      </c>
      <c r="D1363" t="s">
        <v>43</v>
      </c>
      <c r="E1363" s="1">
        <v>45097</v>
      </c>
      <c r="F1363" s="1">
        <v>45100</v>
      </c>
      <c r="G1363">
        <v>20</v>
      </c>
      <c r="H1363">
        <v>134.57</v>
      </c>
      <c r="I1363" t="s">
        <v>61</v>
      </c>
      <c r="J1363">
        <v>1020</v>
      </c>
      <c r="K1363">
        <v>3</v>
      </c>
    </row>
    <row r="1364" spans="1:11">
      <c r="A1364" t="s">
        <v>1411</v>
      </c>
      <c r="B1364" t="s">
        <v>50</v>
      </c>
      <c r="C1364" t="s">
        <v>37</v>
      </c>
      <c r="D1364" t="s">
        <v>60</v>
      </c>
      <c r="E1364" s="1">
        <v>45018</v>
      </c>
      <c r="F1364" s="1">
        <v>45023</v>
      </c>
      <c r="G1364">
        <v>8.4</v>
      </c>
      <c r="H1364">
        <v>83.54</v>
      </c>
      <c r="I1364" t="s">
        <v>16</v>
      </c>
      <c r="J1364">
        <v>598</v>
      </c>
      <c r="K1364">
        <v>5</v>
      </c>
    </row>
    <row r="1365" spans="1:11">
      <c r="A1365" t="s">
        <v>1412</v>
      </c>
      <c r="B1365" t="s">
        <v>21</v>
      </c>
      <c r="C1365" t="s">
        <v>45</v>
      </c>
      <c r="D1365" t="s">
        <v>19</v>
      </c>
      <c r="E1365" s="1">
        <v>45053</v>
      </c>
      <c r="F1365" s="1">
        <v>45061</v>
      </c>
      <c r="G1365">
        <v>18.7</v>
      </c>
      <c r="H1365">
        <v>286.31</v>
      </c>
      <c r="I1365" t="s">
        <v>48</v>
      </c>
      <c r="J1365">
        <v>1743</v>
      </c>
      <c r="K1365">
        <v>5</v>
      </c>
    </row>
    <row r="1366" spans="1:11">
      <c r="A1366" t="s">
        <v>1413</v>
      </c>
      <c r="B1366" t="s">
        <v>28</v>
      </c>
      <c r="C1366" t="s">
        <v>18</v>
      </c>
      <c r="D1366" t="s">
        <v>19</v>
      </c>
      <c r="E1366" s="1">
        <v>45203</v>
      </c>
      <c r="F1366" s="1">
        <v>45207</v>
      </c>
      <c r="G1366">
        <v>35.299999999999997</v>
      </c>
      <c r="H1366">
        <v>316.54000000000002</v>
      </c>
      <c r="I1366" t="s">
        <v>16</v>
      </c>
      <c r="J1366">
        <v>1866</v>
      </c>
      <c r="K1366">
        <v>4</v>
      </c>
    </row>
    <row r="1367" spans="1:11">
      <c r="A1367" t="s">
        <v>1414</v>
      </c>
      <c r="B1367" t="s">
        <v>50</v>
      </c>
      <c r="C1367" t="s">
        <v>71</v>
      </c>
      <c r="D1367" t="s">
        <v>38</v>
      </c>
      <c r="E1367" s="1">
        <v>45287</v>
      </c>
      <c r="F1367" s="1">
        <v>45291</v>
      </c>
      <c r="G1367">
        <v>12.7</v>
      </c>
      <c r="H1367">
        <v>208.88</v>
      </c>
      <c r="I1367" t="s">
        <v>16</v>
      </c>
      <c r="J1367">
        <v>1413</v>
      </c>
      <c r="K1367">
        <v>4</v>
      </c>
    </row>
    <row r="1368" spans="1:11">
      <c r="A1368" t="s">
        <v>1415</v>
      </c>
      <c r="B1368" t="s">
        <v>13</v>
      </c>
      <c r="C1368" t="s">
        <v>14</v>
      </c>
      <c r="D1368" t="s">
        <v>43</v>
      </c>
      <c r="E1368" s="1">
        <v>45222</v>
      </c>
      <c r="F1368" s="1">
        <v>45224</v>
      </c>
      <c r="G1368">
        <v>28</v>
      </c>
      <c r="H1368">
        <v>146.54</v>
      </c>
      <c r="I1368" t="s">
        <v>16</v>
      </c>
      <c r="J1368">
        <v>956</v>
      </c>
      <c r="K1368">
        <v>2</v>
      </c>
    </row>
    <row r="1369" spans="1:11">
      <c r="A1369" t="s">
        <v>1416</v>
      </c>
      <c r="B1369" t="s">
        <v>57</v>
      </c>
      <c r="C1369" t="s">
        <v>32</v>
      </c>
      <c r="D1369" t="s">
        <v>33</v>
      </c>
      <c r="E1369" s="1">
        <v>45219</v>
      </c>
      <c r="F1369" s="1">
        <v>45223</v>
      </c>
      <c r="G1369">
        <v>12</v>
      </c>
      <c r="H1369">
        <v>210.09</v>
      </c>
      <c r="I1369" t="s">
        <v>16</v>
      </c>
      <c r="J1369">
        <v>1580</v>
      </c>
      <c r="K1369">
        <v>4</v>
      </c>
    </row>
    <row r="1370" spans="1:11">
      <c r="A1370" t="s">
        <v>1417</v>
      </c>
      <c r="B1370" t="s">
        <v>52</v>
      </c>
      <c r="C1370" t="s">
        <v>58</v>
      </c>
      <c r="D1370" t="s">
        <v>60</v>
      </c>
      <c r="E1370" s="1">
        <v>45172</v>
      </c>
      <c r="F1370" s="1">
        <v>45176</v>
      </c>
      <c r="G1370">
        <v>15.1</v>
      </c>
      <c r="H1370">
        <v>152.29</v>
      </c>
      <c r="I1370" t="s">
        <v>16</v>
      </c>
      <c r="J1370">
        <v>1216</v>
      </c>
      <c r="K1370">
        <v>4</v>
      </c>
    </row>
    <row r="1371" spans="1:11">
      <c r="A1371" t="s">
        <v>1418</v>
      </c>
      <c r="B1371" t="s">
        <v>24</v>
      </c>
      <c r="C1371" t="s">
        <v>29</v>
      </c>
      <c r="D1371" t="s">
        <v>33</v>
      </c>
      <c r="E1371" s="1">
        <v>44993</v>
      </c>
      <c r="F1371" s="1">
        <v>44999</v>
      </c>
      <c r="G1371">
        <v>28.6</v>
      </c>
      <c r="H1371">
        <v>328.6</v>
      </c>
      <c r="I1371" t="s">
        <v>16</v>
      </c>
      <c r="J1371">
        <v>2066</v>
      </c>
      <c r="K1371">
        <v>6</v>
      </c>
    </row>
    <row r="1372" spans="1:11">
      <c r="A1372" t="s">
        <v>1419</v>
      </c>
      <c r="B1372" t="s">
        <v>52</v>
      </c>
      <c r="C1372" t="s">
        <v>71</v>
      </c>
      <c r="D1372" t="s">
        <v>26</v>
      </c>
      <c r="E1372" s="1">
        <v>45269</v>
      </c>
      <c r="F1372" s="1">
        <v>45272</v>
      </c>
      <c r="G1372">
        <v>40.9</v>
      </c>
      <c r="H1372">
        <v>186.93</v>
      </c>
      <c r="I1372" t="s">
        <v>61</v>
      </c>
      <c r="J1372">
        <v>855</v>
      </c>
      <c r="K1372">
        <v>3</v>
      </c>
    </row>
    <row r="1373" spans="1:11">
      <c r="A1373" t="s">
        <v>1420</v>
      </c>
      <c r="B1373" t="s">
        <v>13</v>
      </c>
      <c r="C1373" t="s">
        <v>41</v>
      </c>
      <c r="D1373" t="s">
        <v>60</v>
      </c>
      <c r="E1373" s="1">
        <v>45129</v>
      </c>
      <c r="F1373" s="1">
        <v>45132</v>
      </c>
      <c r="G1373">
        <v>20.7</v>
      </c>
      <c r="H1373">
        <v>57.14</v>
      </c>
      <c r="I1373" t="s">
        <v>16</v>
      </c>
      <c r="J1373">
        <v>298</v>
      </c>
      <c r="K1373">
        <v>3</v>
      </c>
    </row>
    <row r="1374" spans="1:11">
      <c r="A1374" t="s">
        <v>1421</v>
      </c>
      <c r="B1374" t="s">
        <v>13</v>
      </c>
      <c r="C1374" t="s">
        <v>22</v>
      </c>
      <c r="D1374" t="s">
        <v>60</v>
      </c>
      <c r="E1374" s="1">
        <v>45183</v>
      </c>
      <c r="F1374" s="1">
        <v>45193</v>
      </c>
      <c r="G1374">
        <v>67.2</v>
      </c>
      <c r="H1374">
        <v>359.97</v>
      </c>
      <c r="I1374" t="s">
        <v>61</v>
      </c>
      <c r="J1374">
        <v>2311</v>
      </c>
      <c r="K1374">
        <v>10</v>
      </c>
    </row>
    <row r="1375" spans="1:11">
      <c r="A1375" t="s">
        <v>1422</v>
      </c>
      <c r="B1375" t="s">
        <v>31</v>
      </c>
      <c r="C1375" t="s">
        <v>53</v>
      </c>
      <c r="D1375" t="s">
        <v>33</v>
      </c>
      <c r="E1375" s="1">
        <v>45244</v>
      </c>
      <c r="F1375" s="1">
        <v>45247</v>
      </c>
      <c r="G1375">
        <v>35.200000000000003</v>
      </c>
      <c r="H1375">
        <v>87.57</v>
      </c>
      <c r="I1375" t="s">
        <v>16</v>
      </c>
      <c r="J1375">
        <v>214</v>
      </c>
      <c r="K1375">
        <v>3</v>
      </c>
    </row>
    <row r="1376" spans="1:11">
      <c r="A1376" t="s">
        <v>1423</v>
      </c>
      <c r="B1376" t="s">
        <v>13</v>
      </c>
      <c r="C1376" t="s">
        <v>47</v>
      </c>
      <c r="D1376" t="s">
        <v>60</v>
      </c>
      <c r="E1376" s="1">
        <v>44949</v>
      </c>
      <c r="F1376" s="1">
        <v>44964</v>
      </c>
      <c r="G1376">
        <v>14.9</v>
      </c>
      <c r="H1376">
        <v>220.29</v>
      </c>
      <c r="I1376" t="s">
        <v>48</v>
      </c>
      <c r="J1376">
        <v>1859</v>
      </c>
      <c r="K1376">
        <v>5</v>
      </c>
    </row>
    <row r="1377" spans="1:11">
      <c r="A1377" t="s">
        <v>1424</v>
      </c>
      <c r="B1377" t="s">
        <v>36</v>
      </c>
      <c r="C1377" t="s">
        <v>18</v>
      </c>
      <c r="D1377" t="s">
        <v>60</v>
      </c>
      <c r="E1377" s="1">
        <v>45050</v>
      </c>
      <c r="F1377" s="1">
        <v>45061</v>
      </c>
      <c r="G1377">
        <v>8.6</v>
      </c>
      <c r="H1377">
        <v>258.77999999999997</v>
      </c>
      <c r="I1377" t="s">
        <v>48</v>
      </c>
      <c r="J1377">
        <v>2199</v>
      </c>
      <c r="K1377">
        <v>5</v>
      </c>
    </row>
    <row r="1378" spans="1:11">
      <c r="A1378" t="s">
        <v>1425</v>
      </c>
      <c r="B1378" t="s">
        <v>13</v>
      </c>
      <c r="C1378" t="s">
        <v>41</v>
      </c>
      <c r="D1378" t="s">
        <v>38</v>
      </c>
      <c r="E1378" s="1">
        <v>44993</v>
      </c>
      <c r="F1378" s="1">
        <v>44998</v>
      </c>
      <c r="G1378">
        <v>40.799999999999997</v>
      </c>
      <c r="H1378">
        <v>314.97000000000003</v>
      </c>
      <c r="I1378" t="s">
        <v>16</v>
      </c>
      <c r="J1378">
        <v>2330</v>
      </c>
      <c r="K1378">
        <v>5</v>
      </c>
    </row>
    <row r="1379" spans="1:11">
      <c r="A1379" t="s">
        <v>1426</v>
      </c>
      <c r="B1379" t="s">
        <v>31</v>
      </c>
      <c r="C1379" t="s">
        <v>47</v>
      </c>
      <c r="D1379" t="s">
        <v>33</v>
      </c>
      <c r="E1379" s="1">
        <v>45289</v>
      </c>
      <c r="F1379" s="1">
        <v>45292</v>
      </c>
      <c r="G1379">
        <v>26.8</v>
      </c>
      <c r="H1379">
        <v>120.06</v>
      </c>
      <c r="I1379" t="s">
        <v>16</v>
      </c>
      <c r="J1379">
        <v>505</v>
      </c>
      <c r="K1379">
        <v>3</v>
      </c>
    </row>
    <row r="1380" spans="1:11">
      <c r="A1380" t="s">
        <v>1427</v>
      </c>
      <c r="B1380" t="s">
        <v>13</v>
      </c>
      <c r="C1380" t="s">
        <v>47</v>
      </c>
      <c r="D1380" t="s">
        <v>26</v>
      </c>
      <c r="E1380" s="1">
        <v>45154</v>
      </c>
      <c r="F1380" s="1">
        <v>45159</v>
      </c>
      <c r="G1380">
        <v>12</v>
      </c>
      <c r="H1380">
        <v>190.22</v>
      </c>
      <c r="I1380" t="s">
        <v>68</v>
      </c>
      <c r="J1380">
        <v>1617</v>
      </c>
      <c r="K1380">
        <v>5</v>
      </c>
    </row>
    <row r="1381" spans="1:11">
      <c r="A1381" t="s">
        <v>1428</v>
      </c>
      <c r="B1381" t="s">
        <v>57</v>
      </c>
      <c r="C1381" t="s">
        <v>32</v>
      </c>
      <c r="D1381" t="s">
        <v>15</v>
      </c>
      <c r="E1381" s="1">
        <v>45195</v>
      </c>
      <c r="F1381" s="1">
        <v>45199</v>
      </c>
      <c r="G1381">
        <v>54.5</v>
      </c>
      <c r="H1381">
        <v>215.64</v>
      </c>
      <c r="I1381" t="s">
        <v>16</v>
      </c>
      <c r="J1381">
        <v>1270</v>
      </c>
      <c r="K1381">
        <v>4</v>
      </c>
    </row>
    <row r="1382" spans="1:11">
      <c r="A1382" t="s">
        <v>1429</v>
      </c>
      <c r="B1382" t="s">
        <v>57</v>
      </c>
      <c r="C1382" t="s">
        <v>18</v>
      </c>
      <c r="D1382" t="s">
        <v>38</v>
      </c>
      <c r="E1382" s="1">
        <v>45019</v>
      </c>
      <c r="F1382" s="1">
        <v>45023</v>
      </c>
      <c r="G1382">
        <v>43.5</v>
      </c>
      <c r="H1382">
        <v>288.61</v>
      </c>
      <c r="I1382" t="s">
        <v>16</v>
      </c>
      <c r="J1382">
        <v>2007</v>
      </c>
      <c r="K1382">
        <v>4</v>
      </c>
    </row>
    <row r="1383" spans="1:11">
      <c r="A1383" t="s">
        <v>1430</v>
      </c>
      <c r="B1383" t="s">
        <v>36</v>
      </c>
      <c r="C1383" t="s">
        <v>82</v>
      </c>
      <c r="D1383" t="s">
        <v>60</v>
      </c>
      <c r="E1383" s="1">
        <v>45247</v>
      </c>
      <c r="F1383" s="1">
        <v>45251</v>
      </c>
      <c r="G1383">
        <v>12.5</v>
      </c>
      <c r="H1383">
        <v>159.22999999999999</v>
      </c>
      <c r="I1383" t="s">
        <v>16</v>
      </c>
      <c r="J1383">
        <v>1000</v>
      </c>
      <c r="K1383">
        <v>4</v>
      </c>
    </row>
    <row r="1384" spans="1:11">
      <c r="A1384" t="s">
        <v>1431</v>
      </c>
      <c r="B1384" t="s">
        <v>21</v>
      </c>
      <c r="C1384" t="s">
        <v>32</v>
      </c>
      <c r="D1384" t="s">
        <v>60</v>
      </c>
      <c r="E1384" s="1">
        <v>45132</v>
      </c>
      <c r="F1384" s="1">
        <v>45141</v>
      </c>
      <c r="G1384">
        <v>4.3</v>
      </c>
      <c r="H1384">
        <v>17.89</v>
      </c>
      <c r="I1384" t="s">
        <v>48</v>
      </c>
      <c r="J1384">
        <v>105</v>
      </c>
      <c r="K1384">
        <v>4</v>
      </c>
    </row>
    <row r="1385" spans="1:11">
      <c r="A1385" t="s">
        <v>1432</v>
      </c>
      <c r="B1385" t="s">
        <v>24</v>
      </c>
      <c r="C1385" t="s">
        <v>71</v>
      </c>
      <c r="D1385" t="s">
        <v>38</v>
      </c>
      <c r="E1385" s="1">
        <v>45046</v>
      </c>
      <c r="F1385" s="1">
        <v>45050</v>
      </c>
      <c r="G1385">
        <v>41.2</v>
      </c>
      <c r="H1385">
        <v>137.96</v>
      </c>
      <c r="I1385" t="s">
        <v>16</v>
      </c>
      <c r="J1385">
        <v>813</v>
      </c>
      <c r="K1385">
        <v>4</v>
      </c>
    </row>
    <row r="1386" spans="1:11">
      <c r="A1386" t="s">
        <v>1433</v>
      </c>
      <c r="B1386" t="s">
        <v>24</v>
      </c>
      <c r="C1386" t="s">
        <v>45</v>
      </c>
      <c r="D1386" t="s">
        <v>43</v>
      </c>
      <c r="E1386" s="1">
        <v>44993</v>
      </c>
      <c r="F1386" s="1">
        <v>44999</v>
      </c>
      <c r="G1386">
        <v>18.3</v>
      </c>
      <c r="H1386">
        <v>232.16</v>
      </c>
      <c r="I1386" t="s">
        <v>16</v>
      </c>
      <c r="J1386">
        <v>1746</v>
      </c>
      <c r="K1386">
        <v>6</v>
      </c>
    </row>
    <row r="1387" spans="1:11">
      <c r="A1387" t="s">
        <v>1434</v>
      </c>
      <c r="B1387" t="s">
        <v>28</v>
      </c>
      <c r="C1387" t="s">
        <v>18</v>
      </c>
      <c r="D1387" t="s">
        <v>26</v>
      </c>
      <c r="E1387" s="1">
        <v>44966</v>
      </c>
      <c r="F1387" s="1">
        <v>44971</v>
      </c>
      <c r="G1387">
        <v>25.8</v>
      </c>
      <c r="H1387">
        <v>276.98</v>
      </c>
      <c r="I1387" t="s">
        <v>16</v>
      </c>
      <c r="J1387">
        <v>1911</v>
      </c>
      <c r="K1387">
        <v>5</v>
      </c>
    </row>
    <row r="1388" spans="1:11">
      <c r="A1388" t="s">
        <v>1435</v>
      </c>
      <c r="B1388" t="s">
        <v>50</v>
      </c>
      <c r="C1388" t="s">
        <v>82</v>
      </c>
      <c r="D1388" t="s">
        <v>43</v>
      </c>
      <c r="E1388" s="1">
        <v>45067</v>
      </c>
      <c r="F1388" s="1">
        <v>45073</v>
      </c>
      <c r="G1388">
        <v>6.5</v>
      </c>
      <c r="H1388">
        <v>206.26</v>
      </c>
      <c r="I1388" t="s">
        <v>16</v>
      </c>
      <c r="J1388">
        <v>1816</v>
      </c>
      <c r="K1388">
        <v>6</v>
      </c>
    </row>
    <row r="1389" spans="1:11">
      <c r="A1389" t="s">
        <v>1436</v>
      </c>
      <c r="B1389" t="s">
        <v>50</v>
      </c>
      <c r="C1389" t="s">
        <v>47</v>
      </c>
      <c r="D1389" t="s">
        <v>26</v>
      </c>
      <c r="E1389" s="1">
        <v>45169</v>
      </c>
      <c r="F1389" s="1">
        <v>45185</v>
      </c>
      <c r="G1389">
        <v>15.5</v>
      </c>
      <c r="H1389">
        <v>191.24</v>
      </c>
      <c r="I1389" t="s">
        <v>48</v>
      </c>
      <c r="J1389">
        <v>1482</v>
      </c>
      <c r="K1389">
        <v>4</v>
      </c>
    </row>
    <row r="1390" spans="1:11">
      <c r="A1390" t="s">
        <v>1437</v>
      </c>
      <c r="B1390" t="s">
        <v>57</v>
      </c>
      <c r="C1390" t="s">
        <v>53</v>
      </c>
      <c r="D1390" t="s">
        <v>19</v>
      </c>
      <c r="E1390" s="1">
        <v>45079</v>
      </c>
      <c r="F1390" s="1">
        <v>45081</v>
      </c>
      <c r="G1390">
        <v>23.6</v>
      </c>
      <c r="H1390">
        <v>159.12</v>
      </c>
      <c r="I1390" t="s">
        <v>16</v>
      </c>
      <c r="J1390">
        <v>998</v>
      </c>
      <c r="K1390">
        <v>2</v>
      </c>
    </row>
    <row r="1391" spans="1:11">
      <c r="A1391" t="s">
        <v>1438</v>
      </c>
      <c r="B1391" t="s">
        <v>40</v>
      </c>
      <c r="C1391" t="s">
        <v>47</v>
      </c>
      <c r="D1391" t="s">
        <v>33</v>
      </c>
      <c r="E1391" s="1">
        <v>45049</v>
      </c>
      <c r="F1391" s="1">
        <v>45051</v>
      </c>
      <c r="G1391">
        <v>27.1</v>
      </c>
      <c r="H1391">
        <v>105.17</v>
      </c>
      <c r="I1391" t="s">
        <v>16</v>
      </c>
      <c r="J1391">
        <v>470</v>
      </c>
      <c r="K1391">
        <v>2</v>
      </c>
    </row>
    <row r="1392" spans="1:11">
      <c r="A1392" t="s">
        <v>1439</v>
      </c>
      <c r="B1392" t="s">
        <v>28</v>
      </c>
      <c r="C1392" t="s">
        <v>55</v>
      </c>
      <c r="D1392" t="s">
        <v>15</v>
      </c>
      <c r="E1392" s="1">
        <v>45197</v>
      </c>
      <c r="F1392" s="1">
        <v>45202</v>
      </c>
      <c r="G1392">
        <v>19.7</v>
      </c>
      <c r="H1392">
        <v>305.45</v>
      </c>
      <c r="I1392" t="s">
        <v>16</v>
      </c>
      <c r="J1392">
        <v>2455</v>
      </c>
      <c r="K1392">
        <v>5</v>
      </c>
    </row>
    <row r="1393" spans="1:11">
      <c r="A1393" t="s">
        <v>1440</v>
      </c>
      <c r="B1393" t="s">
        <v>24</v>
      </c>
      <c r="C1393" t="s">
        <v>18</v>
      </c>
      <c r="D1393" t="s">
        <v>43</v>
      </c>
      <c r="E1393" s="1">
        <v>44965</v>
      </c>
      <c r="F1393" s="1">
        <v>44968</v>
      </c>
      <c r="G1393">
        <v>31.2</v>
      </c>
      <c r="H1393">
        <v>114.2</v>
      </c>
      <c r="I1393" t="s">
        <v>16</v>
      </c>
      <c r="J1393">
        <v>559</v>
      </c>
      <c r="K1393">
        <v>3</v>
      </c>
    </row>
    <row r="1394" spans="1:11">
      <c r="A1394" t="s">
        <v>1441</v>
      </c>
      <c r="B1394" t="s">
        <v>24</v>
      </c>
      <c r="C1394" t="s">
        <v>53</v>
      </c>
      <c r="D1394" t="s">
        <v>26</v>
      </c>
      <c r="E1394" s="1">
        <v>45078</v>
      </c>
      <c r="F1394" s="1">
        <v>45084</v>
      </c>
      <c r="G1394">
        <v>14.8</v>
      </c>
      <c r="H1394">
        <v>319.39</v>
      </c>
      <c r="I1394" t="s">
        <v>16</v>
      </c>
      <c r="J1394">
        <v>2384</v>
      </c>
      <c r="K1394">
        <v>6</v>
      </c>
    </row>
    <row r="1395" spans="1:11">
      <c r="A1395" t="s">
        <v>1442</v>
      </c>
      <c r="B1395" t="s">
        <v>21</v>
      </c>
      <c r="C1395" t="s">
        <v>29</v>
      </c>
      <c r="D1395" t="s">
        <v>26</v>
      </c>
      <c r="E1395" s="1">
        <v>45291</v>
      </c>
      <c r="F1395" s="1">
        <v>45294</v>
      </c>
      <c r="G1395">
        <v>88</v>
      </c>
      <c r="H1395">
        <v>322.10000000000002</v>
      </c>
      <c r="I1395" t="s">
        <v>16</v>
      </c>
      <c r="J1395">
        <v>1435</v>
      </c>
      <c r="K1395">
        <v>3</v>
      </c>
    </row>
    <row r="1396" spans="1:11">
      <c r="A1396" t="s">
        <v>1443</v>
      </c>
      <c r="B1396" t="s">
        <v>13</v>
      </c>
      <c r="C1396" t="s">
        <v>47</v>
      </c>
      <c r="D1396" t="s">
        <v>33</v>
      </c>
      <c r="E1396" s="1">
        <v>45256</v>
      </c>
      <c r="F1396" s="1">
        <v>45276</v>
      </c>
      <c r="G1396">
        <v>17.899999999999999</v>
      </c>
      <c r="H1396">
        <v>247.56</v>
      </c>
      <c r="I1396" t="s">
        <v>48</v>
      </c>
      <c r="J1396">
        <v>1525</v>
      </c>
      <c r="K1396">
        <v>10</v>
      </c>
    </row>
    <row r="1397" spans="1:11">
      <c r="A1397" t="s">
        <v>1444</v>
      </c>
      <c r="B1397" t="s">
        <v>57</v>
      </c>
      <c r="C1397" t="s">
        <v>45</v>
      </c>
      <c r="D1397" t="s">
        <v>43</v>
      </c>
      <c r="E1397" s="1">
        <v>44951</v>
      </c>
      <c r="F1397" s="1">
        <v>44955</v>
      </c>
      <c r="G1397">
        <v>11</v>
      </c>
      <c r="H1397">
        <v>98.73</v>
      </c>
      <c r="I1397" t="s">
        <v>16</v>
      </c>
      <c r="J1397">
        <v>698</v>
      </c>
      <c r="K1397">
        <v>4</v>
      </c>
    </row>
    <row r="1398" spans="1:11">
      <c r="A1398" t="s">
        <v>1445</v>
      </c>
      <c r="B1398" t="s">
        <v>24</v>
      </c>
      <c r="C1398" t="s">
        <v>82</v>
      </c>
      <c r="D1398" t="s">
        <v>38</v>
      </c>
      <c r="E1398" s="1">
        <v>45198</v>
      </c>
      <c r="F1398" s="1">
        <v>45207</v>
      </c>
      <c r="G1398">
        <v>16.3</v>
      </c>
      <c r="H1398">
        <v>247.24</v>
      </c>
      <c r="I1398" t="s">
        <v>48</v>
      </c>
      <c r="J1398">
        <v>1920</v>
      </c>
      <c r="K1398">
        <v>8</v>
      </c>
    </row>
    <row r="1399" spans="1:11">
      <c r="A1399" t="s">
        <v>1446</v>
      </c>
      <c r="B1399" t="s">
        <v>24</v>
      </c>
      <c r="C1399" t="s">
        <v>37</v>
      </c>
      <c r="D1399" t="s">
        <v>43</v>
      </c>
      <c r="E1399" s="1">
        <v>45239</v>
      </c>
      <c r="F1399" s="1">
        <v>45242</v>
      </c>
      <c r="G1399">
        <v>32.700000000000003</v>
      </c>
      <c r="H1399">
        <v>180.59</v>
      </c>
      <c r="I1399" t="s">
        <v>16</v>
      </c>
      <c r="J1399">
        <v>958</v>
      </c>
      <c r="K1399">
        <v>3</v>
      </c>
    </row>
    <row r="1400" spans="1:11">
      <c r="A1400" t="s">
        <v>1447</v>
      </c>
      <c r="B1400" t="s">
        <v>40</v>
      </c>
      <c r="C1400" t="s">
        <v>41</v>
      </c>
      <c r="D1400" t="s">
        <v>26</v>
      </c>
      <c r="E1400" s="1">
        <v>45217</v>
      </c>
      <c r="F1400" s="1">
        <v>45221</v>
      </c>
      <c r="G1400">
        <v>16.3</v>
      </c>
      <c r="H1400">
        <v>248.97</v>
      </c>
      <c r="I1400" t="s">
        <v>16</v>
      </c>
      <c r="J1400">
        <v>2057</v>
      </c>
      <c r="K1400">
        <v>4</v>
      </c>
    </row>
    <row r="1401" spans="1:11">
      <c r="A1401" t="s">
        <v>1448</v>
      </c>
      <c r="B1401" t="s">
        <v>57</v>
      </c>
      <c r="C1401" t="s">
        <v>14</v>
      </c>
      <c r="D1401" t="s">
        <v>15</v>
      </c>
      <c r="E1401" s="1">
        <v>44930</v>
      </c>
      <c r="F1401" s="1">
        <v>44933</v>
      </c>
      <c r="G1401">
        <v>10.5</v>
      </c>
      <c r="H1401">
        <v>161.38</v>
      </c>
      <c r="I1401" t="s">
        <v>16</v>
      </c>
      <c r="J1401">
        <v>1148</v>
      </c>
      <c r="K1401">
        <v>3</v>
      </c>
    </row>
    <row r="1402" spans="1:11">
      <c r="A1402" t="s">
        <v>1449</v>
      </c>
      <c r="B1402" t="s">
        <v>24</v>
      </c>
      <c r="C1402" t="s">
        <v>47</v>
      </c>
      <c r="D1402" t="s">
        <v>19</v>
      </c>
      <c r="E1402" s="1">
        <v>45128</v>
      </c>
      <c r="F1402" s="1">
        <v>45135</v>
      </c>
      <c r="G1402">
        <v>26.5</v>
      </c>
      <c r="H1402">
        <v>373.28</v>
      </c>
      <c r="I1402" t="s">
        <v>16</v>
      </c>
      <c r="J1402">
        <v>2221</v>
      </c>
      <c r="K1402">
        <v>7</v>
      </c>
    </row>
    <row r="1403" spans="1:11">
      <c r="A1403" t="s">
        <v>1450</v>
      </c>
      <c r="B1403" t="s">
        <v>40</v>
      </c>
      <c r="C1403" t="s">
        <v>53</v>
      </c>
      <c r="D1403" t="s">
        <v>33</v>
      </c>
      <c r="E1403" s="1">
        <v>45109</v>
      </c>
      <c r="F1403" s="1">
        <v>45115</v>
      </c>
      <c r="G1403">
        <v>17.2</v>
      </c>
      <c r="H1403">
        <v>331.37</v>
      </c>
      <c r="I1403" t="s">
        <v>16</v>
      </c>
      <c r="J1403">
        <v>2287</v>
      </c>
      <c r="K1403">
        <v>6</v>
      </c>
    </row>
    <row r="1404" spans="1:11">
      <c r="A1404" t="s">
        <v>1451</v>
      </c>
      <c r="B1404" t="s">
        <v>13</v>
      </c>
      <c r="C1404" t="s">
        <v>25</v>
      </c>
      <c r="D1404" t="s">
        <v>19</v>
      </c>
      <c r="E1404" s="1">
        <v>45157</v>
      </c>
      <c r="F1404" s="1">
        <v>45161</v>
      </c>
      <c r="G1404">
        <v>24.1</v>
      </c>
      <c r="H1404">
        <v>256.70999999999998</v>
      </c>
      <c r="I1404" t="s">
        <v>16</v>
      </c>
      <c r="J1404">
        <v>1807</v>
      </c>
      <c r="K1404">
        <v>4</v>
      </c>
    </row>
    <row r="1405" spans="1:11">
      <c r="A1405" t="s">
        <v>1452</v>
      </c>
      <c r="B1405" t="s">
        <v>24</v>
      </c>
      <c r="C1405" t="s">
        <v>32</v>
      </c>
      <c r="D1405" t="s">
        <v>43</v>
      </c>
      <c r="E1405" s="1">
        <v>45086</v>
      </c>
      <c r="F1405" s="1">
        <v>45092</v>
      </c>
      <c r="G1405">
        <v>38.799999999999997</v>
      </c>
      <c r="H1405">
        <v>361.92</v>
      </c>
      <c r="I1405" t="s">
        <v>16</v>
      </c>
      <c r="J1405">
        <v>2362</v>
      </c>
      <c r="K1405">
        <v>6</v>
      </c>
    </row>
    <row r="1406" spans="1:11">
      <c r="A1406" t="s">
        <v>1453</v>
      </c>
      <c r="B1406" t="s">
        <v>21</v>
      </c>
      <c r="C1406" t="s">
        <v>53</v>
      </c>
      <c r="D1406" t="s">
        <v>38</v>
      </c>
      <c r="E1406" s="1">
        <v>44977</v>
      </c>
      <c r="F1406" s="1">
        <v>44979</v>
      </c>
      <c r="G1406">
        <v>12.9</v>
      </c>
      <c r="H1406">
        <v>61</v>
      </c>
      <c r="I1406" t="s">
        <v>16</v>
      </c>
      <c r="J1406">
        <v>373</v>
      </c>
      <c r="K1406">
        <v>2</v>
      </c>
    </row>
    <row r="1407" spans="1:11">
      <c r="A1407" t="s">
        <v>1454</v>
      </c>
      <c r="B1407" t="s">
        <v>50</v>
      </c>
      <c r="C1407" t="s">
        <v>53</v>
      </c>
      <c r="D1407" t="s">
        <v>38</v>
      </c>
      <c r="E1407" s="1">
        <v>45065</v>
      </c>
      <c r="F1407" s="1">
        <v>45067</v>
      </c>
      <c r="G1407">
        <v>20.3</v>
      </c>
      <c r="H1407">
        <v>86.78</v>
      </c>
      <c r="I1407" t="s">
        <v>16</v>
      </c>
      <c r="J1407">
        <v>544</v>
      </c>
      <c r="K1407">
        <v>2</v>
      </c>
    </row>
    <row r="1408" spans="1:11">
      <c r="A1408" t="s">
        <v>1455</v>
      </c>
      <c r="B1408" t="s">
        <v>36</v>
      </c>
      <c r="C1408" t="s">
        <v>55</v>
      </c>
      <c r="D1408" t="s">
        <v>26</v>
      </c>
      <c r="E1408" s="1">
        <v>45152</v>
      </c>
      <c r="F1408" s="1">
        <v>45156</v>
      </c>
      <c r="G1408">
        <v>39.9</v>
      </c>
      <c r="H1408">
        <v>220.09</v>
      </c>
      <c r="I1408" t="s">
        <v>16</v>
      </c>
      <c r="J1408">
        <v>1350</v>
      </c>
      <c r="K1408">
        <v>4</v>
      </c>
    </row>
    <row r="1409" spans="1:11">
      <c r="A1409" t="s">
        <v>1456</v>
      </c>
      <c r="B1409" t="s">
        <v>36</v>
      </c>
      <c r="C1409" t="s">
        <v>71</v>
      </c>
      <c r="D1409" t="s">
        <v>38</v>
      </c>
      <c r="E1409" s="1">
        <v>45214</v>
      </c>
      <c r="F1409" s="1">
        <v>45218</v>
      </c>
      <c r="G1409">
        <v>22</v>
      </c>
      <c r="H1409">
        <v>86.67</v>
      </c>
      <c r="I1409" t="s">
        <v>16</v>
      </c>
      <c r="J1409">
        <v>544</v>
      </c>
      <c r="K1409">
        <v>4</v>
      </c>
    </row>
    <row r="1410" spans="1:11">
      <c r="A1410" t="s">
        <v>1457</v>
      </c>
      <c r="B1410" t="s">
        <v>57</v>
      </c>
      <c r="C1410" t="s">
        <v>71</v>
      </c>
      <c r="D1410" t="s">
        <v>38</v>
      </c>
      <c r="E1410" s="1">
        <v>45139</v>
      </c>
      <c r="F1410" s="1">
        <v>45141</v>
      </c>
      <c r="G1410">
        <v>20.8</v>
      </c>
      <c r="H1410">
        <v>99.54</v>
      </c>
      <c r="I1410" t="s">
        <v>16</v>
      </c>
      <c r="J1410">
        <v>637</v>
      </c>
      <c r="K1410">
        <v>2</v>
      </c>
    </row>
    <row r="1411" spans="1:11">
      <c r="A1411" t="s">
        <v>1458</v>
      </c>
      <c r="B1411" t="s">
        <v>31</v>
      </c>
      <c r="C1411" t="s">
        <v>58</v>
      </c>
      <c r="D1411" t="s">
        <v>43</v>
      </c>
      <c r="E1411" s="1">
        <v>44948</v>
      </c>
      <c r="F1411" s="1">
        <v>44950</v>
      </c>
      <c r="G1411">
        <v>5.5</v>
      </c>
      <c r="H1411">
        <v>70.39</v>
      </c>
      <c r="I1411" t="s">
        <v>16</v>
      </c>
      <c r="J1411">
        <v>507</v>
      </c>
      <c r="K1411">
        <v>2</v>
      </c>
    </row>
    <row r="1412" spans="1:11">
      <c r="A1412" t="s">
        <v>1459</v>
      </c>
      <c r="B1412" t="s">
        <v>57</v>
      </c>
      <c r="C1412" t="s">
        <v>18</v>
      </c>
      <c r="D1412" t="s">
        <v>15</v>
      </c>
      <c r="E1412" s="1">
        <v>45110</v>
      </c>
      <c r="F1412" s="1">
        <v>45117</v>
      </c>
      <c r="G1412">
        <v>14</v>
      </c>
      <c r="H1412">
        <v>260.56</v>
      </c>
      <c r="I1412" t="s">
        <v>16</v>
      </c>
      <c r="J1412">
        <v>2009</v>
      </c>
      <c r="K1412">
        <v>7</v>
      </c>
    </row>
    <row r="1413" spans="1:11">
      <c r="A1413" t="s">
        <v>1460</v>
      </c>
      <c r="B1413" t="s">
        <v>57</v>
      </c>
      <c r="C1413" t="s">
        <v>32</v>
      </c>
      <c r="D1413" t="s">
        <v>43</v>
      </c>
      <c r="E1413" s="1">
        <v>45102</v>
      </c>
      <c r="F1413" s="1">
        <v>45112</v>
      </c>
      <c r="G1413">
        <v>12</v>
      </c>
      <c r="H1413">
        <v>113.5</v>
      </c>
      <c r="I1413" t="s">
        <v>48</v>
      </c>
      <c r="J1413">
        <v>852</v>
      </c>
      <c r="K1413">
        <v>3</v>
      </c>
    </row>
    <row r="1414" spans="1:11">
      <c r="A1414" t="s">
        <v>1461</v>
      </c>
      <c r="B1414" t="s">
        <v>31</v>
      </c>
      <c r="C1414" t="s">
        <v>32</v>
      </c>
      <c r="D1414" t="s">
        <v>19</v>
      </c>
      <c r="E1414" s="1">
        <v>45032</v>
      </c>
      <c r="F1414" s="1">
        <v>45038</v>
      </c>
      <c r="G1414">
        <v>24.9</v>
      </c>
      <c r="H1414">
        <v>297.44</v>
      </c>
      <c r="I1414" t="s">
        <v>16</v>
      </c>
      <c r="J1414">
        <v>2010</v>
      </c>
      <c r="K1414">
        <v>6</v>
      </c>
    </row>
    <row r="1415" spans="1:11">
      <c r="A1415" t="s">
        <v>1462</v>
      </c>
      <c r="B1415" t="s">
        <v>36</v>
      </c>
      <c r="C1415" t="s">
        <v>45</v>
      </c>
      <c r="D1415" t="s">
        <v>19</v>
      </c>
      <c r="E1415" s="1">
        <v>45044</v>
      </c>
      <c r="F1415" s="1">
        <v>45046</v>
      </c>
      <c r="G1415">
        <v>5.8</v>
      </c>
      <c r="H1415">
        <v>71.349999999999994</v>
      </c>
      <c r="I1415" t="s">
        <v>16</v>
      </c>
      <c r="J1415">
        <v>487</v>
      </c>
      <c r="K1415">
        <v>2</v>
      </c>
    </row>
    <row r="1416" spans="1:11">
      <c r="A1416" t="s">
        <v>1463</v>
      </c>
      <c r="B1416" t="s">
        <v>13</v>
      </c>
      <c r="C1416" t="s">
        <v>37</v>
      </c>
      <c r="D1416" t="s">
        <v>33</v>
      </c>
      <c r="E1416" s="1">
        <v>45096</v>
      </c>
      <c r="F1416" s="1">
        <v>45100</v>
      </c>
      <c r="G1416">
        <v>20.399999999999999</v>
      </c>
      <c r="H1416">
        <v>211.34</v>
      </c>
      <c r="I1416" t="s">
        <v>16</v>
      </c>
      <c r="J1416">
        <v>1369</v>
      </c>
      <c r="K1416">
        <v>4</v>
      </c>
    </row>
    <row r="1417" spans="1:11">
      <c r="A1417" t="s">
        <v>1464</v>
      </c>
      <c r="B1417" t="s">
        <v>28</v>
      </c>
      <c r="C1417" t="s">
        <v>45</v>
      </c>
      <c r="D1417" t="s">
        <v>19</v>
      </c>
      <c r="E1417" s="1">
        <v>45260</v>
      </c>
      <c r="F1417" s="1">
        <v>45267</v>
      </c>
      <c r="G1417">
        <v>38</v>
      </c>
      <c r="H1417">
        <v>286.58</v>
      </c>
      <c r="I1417" t="s">
        <v>16</v>
      </c>
      <c r="J1417">
        <v>1542</v>
      </c>
      <c r="K1417">
        <v>7</v>
      </c>
    </row>
    <row r="1418" spans="1:11">
      <c r="A1418" t="s">
        <v>1465</v>
      </c>
      <c r="B1418" t="s">
        <v>40</v>
      </c>
      <c r="C1418" t="s">
        <v>37</v>
      </c>
      <c r="D1418" t="s">
        <v>19</v>
      </c>
      <c r="E1418" s="1">
        <v>45258</v>
      </c>
      <c r="F1418" s="1">
        <v>45264</v>
      </c>
      <c r="G1418">
        <v>18.7</v>
      </c>
      <c r="H1418">
        <v>326.89999999999998</v>
      </c>
      <c r="I1418" t="s">
        <v>16</v>
      </c>
      <c r="J1418">
        <v>1838</v>
      </c>
      <c r="K1418">
        <v>6</v>
      </c>
    </row>
    <row r="1419" spans="1:11">
      <c r="A1419" t="s">
        <v>1466</v>
      </c>
      <c r="B1419" t="s">
        <v>21</v>
      </c>
      <c r="C1419" t="s">
        <v>82</v>
      </c>
      <c r="D1419" t="s">
        <v>26</v>
      </c>
      <c r="E1419" s="1">
        <v>45013</v>
      </c>
      <c r="F1419" s="1">
        <v>45016</v>
      </c>
      <c r="G1419">
        <v>13.7</v>
      </c>
      <c r="H1419">
        <v>175.73</v>
      </c>
      <c r="I1419" t="s">
        <v>16</v>
      </c>
      <c r="J1419">
        <v>1364</v>
      </c>
      <c r="K1419">
        <v>3</v>
      </c>
    </row>
    <row r="1420" spans="1:11">
      <c r="A1420" t="s">
        <v>1467</v>
      </c>
      <c r="B1420" t="s">
        <v>50</v>
      </c>
      <c r="C1420" t="s">
        <v>18</v>
      </c>
      <c r="D1420" t="s">
        <v>19</v>
      </c>
      <c r="E1420" s="1">
        <v>45011</v>
      </c>
      <c r="F1420" s="1">
        <v>45014</v>
      </c>
      <c r="G1420">
        <v>38.700000000000003</v>
      </c>
      <c r="H1420">
        <v>77.84</v>
      </c>
      <c r="I1420" t="s">
        <v>16</v>
      </c>
      <c r="J1420">
        <v>173</v>
      </c>
      <c r="K1420">
        <v>3</v>
      </c>
    </row>
    <row r="1421" spans="1:11">
      <c r="A1421" t="s">
        <v>1468</v>
      </c>
      <c r="B1421" t="s">
        <v>52</v>
      </c>
      <c r="C1421" t="s">
        <v>55</v>
      </c>
      <c r="D1421" t="s">
        <v>19</v>
      </c>
      <c r="E1421" s="1">
        <v>45213</v>
      </c>
      <c r="F1421" s="1">
        <v>45219</v>
      </c>
      <c r="G1421">
        <v>23.4</v>
      </c>
      <c r="H1421">
        <v>356.56</v>
      </c>
      <c r="I1421" t="s">
        <v>16</v>
      </c>
      <c r="J1421">
        <v>2343</v>
      </c>
      <c r="K1421">
        <v>6</v>
      </c>
    </row>
    <row r="1422" spans="1:11">
      <c r="A1422" t="s">
        <v>1469</v>
      </c>
      <c r="B1422" t="s">
        <v>31</v>
      </c>
      <c r="C1422" t="s">
        <v>41</v>
      </c>
      <c r="D1422" t="s">
        <v>19</v>
      </c>
      <c r="E1422" s="1">
        <v>45254</v>
      </c>
      <c r="F1422" s="1">
        <v>45256</v>
      </c>
      <c r="G1422">
        <v>11.1</v>
      </c>
      <c r="H1422">
        <v>109.93</v>
      </c>
      <c r="I1422" t="s">
        <v>16</v>
      </c>
      <c r="J1422">
        <v>505</v>
      </c>
      <c r="K1422">
        <v>2</v>
      </c>
    </row>
    <row r="1423" spans="1:11">
      <c r="A1423" t="s">
        <v>1470</v>
      </c>
      <c r="B1423" t="s">
        <v>50</v>
      </c>
      <c r="C1423" t="s">
        <v>58</v>
      </c>
      <c r="D1423" t="s">
        <v>43</v>
      </c>
      <c r="E1423" s="1">
        <v>45207</v>
      </c>
      <c r="F1423" s="1">
        <v>45208</v>
      </c>
      <c r="G1423">
        <v>30.6</v>
      </c>
      <c r="H1423">
        <v>62.81</v>
      </c>
      <c r="I1423" t="s">
        <v>16</v>
      </c>
      <c r="J1423">
        <v>206</v>
      </c>
      <c r="K1423">
        <v>1</v>
      </c>
    </row>
    <row r="1424" spans="1:11">
      <c r="A1424" t="s">
        <v>1471</v>
      </c>
      <c r="B1424" t="s">
        <v>50</v>
      </c>
      <c r="C1424" t="s">
        <v>32</v>
      </c>
      <c r="D1424" t="s">
        <v>19</v>
      </c>
      <c r="E1424" s="1">
        <v>45280</v>
      </c>
      <c r="F1424" s="1">
        <v>45286</v>
      </c>
      <c r="G1424">
        <v>6.6</v>
      </c>
      <c r="H1424">
        <v>289.77</v>
      </c>
      <c r="I1424" t="s">
        <v>16</v>
      </c>
      <c r="J1424">
        <v>1656</v>
      </c>
      <c r="K1424">
        <v>6</v>
      </c>
    </row>
    <row r="1425" spans="1:11">
      <c r="A1425" t="s">
        <v>1472</v>
      </c>
      <c r="B1425" t="s">
        <v>40</v>
      </c>
      <c r="C1425" t="s">
        <v>14</v>
      </c>
      <c r="D1425" t="s">
        <v>60</v>
      </c>
      <c r="E1425" s="1">
        <v>44955</v>
      </c>
      <c r="F1425" s="1">
        <v>44957</v>
      </c>
      <c r="G1425">
        <v>13.2</v>
      </c>
      <c r="H1425">
        <v>57.43</v>
      </c>
      <c r="I1425" t="s">
        <v>16</v>
      </c>
      <c r="J1425">
        <v>377</v>
      </c>
      <c r="K1425">
        <v>2</v>
      </c>
    </row>
    <row r="1426" spans="1:11">
      <c r="A1426" t="s">
        <v>1473</v>
      </c>
      <c r="B1426" t="s">
        <v>28</v>
      </c>
      <c r="C1426" t="s">
        <v>29</v>
      </c>
      <c r="D1426" t="s">
        <v>26</v>
      </c>
      <c r="E1426" s="1">
        <v>45170</v>
      </c>
      <c r="F1426" s="1">
        <v>45175</v>
      </c>
      <c r="G1426">
        <v>34</v>
      </c>
      <c r="H1426">
        <v>255.91</v>
      </c>
      <c r="I1426" t="s">
        <v>16</v>
      </c>
      <c r="J1426">
        <v>1631</v>
      </c>
      <c r="K1426">
        <v>5</v>
      </c>
    </row>
    <row r="1427" spans="1:11">
      <c r="A1427" t="s">
        <v>1474</v>
      </c>
      <c r="B1427" t="s">
        <v>31</v>
      </c>
      <c r="C1427" t="s">
        <v>82</v>
      </c>
      <c r="D1427" t="s">
        <v>33</v>
      </c>
      <c r="E1427" s="1">
        <v>45216</v>
      </c>
      <c r="F1427" s="1">
        <v>45218</v>
      </c>
      <c r="G1427">
        <v>11</v>
      </c>
      <c r="H1427">
        <v>68.25</v>
      </c>
      <c r="I1427" t="s">
        <v>68</v>
      </c>
      <c r="J1427">
        <v>403</v>
      </c>
      <c r="K1427">
        <v>2</v>
      </c>
    </row>
    <row r="1428" spans="1:11">
      <c r="A1428" t="s">
        <v>1475</v>
      </c>
      <c r="B1428" t="s">
        <v>31</v>
      </c>
      <c r="C1428" t="s">
        <v>14</v>
      </c>
      <c r="D1428" t="s">
        <v>15</v>
      </c>
      <c r="E1428" s="1">
        <v>45148</v>
      </c>
      <c r="F1428" s="1">
        <v>45152</v>
      </c>
      <c r="G1428">
        <v>4.9000000000000004</v>
      </c>
      <c r="I1428" t="s">
        <v>16</v>
      </c>
      <c r="J1428">
        <v>1591</v>
      </c>
      <c r="K1428">
        <v>4</v>
      </c>
    </row>
    <row r="1429" spans="1:11">
      <c r="A1429" t="s">
        <v>1476</v>
      </c>
      <c r="B1429" t="s">
        <v>36</v>
      </c>
      <c r="C1429" t="s">
        <v>18</v>
      </c>
      <c r="D1429" t="s">
        <v>19</v>
      </c>
      <c r="E1429" s="1">
        <v>44947</v>
      </c>
      <c r="F1429" s="1">
        <v>44950</v>
      </c>
      <c r="G1429">
        <v>19.8</v>
      </c>
      <c r="H1429">
        <v>117.68</v>
      </c>
      <c r="I1429" t="s">
        <v>16</v>
      </c>
      <c r="J1429">
        <v>611</v>
      </c>
      <c r="K1429">
        <v>3</v>
      </c>
    </row>
    <row r="1430" spans="1:11">
      <c r="A1430" t="s">
        <v>1477</v>
      </c>
      <c r="B1430" t="s">
        <v>36</v>
      </c>
      <c r="C1430" t="s">
        <v>25</v>
      </c>
      <c r="D1430" t="s">
        <v>15</v>
      </c>
      <c r="E1430" s="1">
        <v>45082</v>
      </c>
      <c r="G1430">
        <v>17.7</v>
      </c>
      <c r="H1430">
        <v>258.44</v>
      </c>
      <c r="I1430" t="s">
        <v>16</v>
      </c>
      <c r="J1430">
        <v>1911</v>
      </c>
      <c r="K1430">
        <v>9</v>
      </c>
    </row>
    <row r="1431" spans="1:11">
      <c r="A1431" t="s">
        <v>1478</v>
      </c>
      <c r="B1431" t="s">
        <v>28</v>
      </c>
      <c r="C1431" t="s">
        <v>45</v>
      </c>
      <c r="D1431" t="s">
        <v>43</v>
      </c>
      <c r="E1431" s="1">
        <v>45005</v>
      </c>
      <c r="F1431" s="1">
        <v>45009</v>
      </c>
      <c r="G1431">
        <v>42.4</v>
      </c>
      <c r="H1431">
        <v>171.56</v>
      </c>
      <c r="I1431" t="s">
        <v>16</v>
      </c>
      <c r="J1431">
        <v>1111</v>
      </c>
      <c r="K1431">
        <v>4</v>
      </c>
    </row>
    <row r="1432" spans="1:11">
      <c r="A1432" t="s">
        <v>1479</v>
      </c>
      <c r="B1432" t="s">
        <v>36</v>
      </c>
      <c r="C1432" t="s">
        <v>25</v>
      </c>
      <c r="D1432" t="s">
        <v>43</v>
      </c>
      <c r="E1432" s="1">
        <v>45136</v>
      </c>
      <c r="F1432" s="1">
        <v>45139</v>
      </c>
      <c r="G1432">
        <v>14.5</v>
      </c>
      <c r="H1432">
        <v>160.16999999999999</v>
      </c>
      <c r="I1432" t="s">
        <v>16</v>
      </c>
      <c r="J1432">
        <v>1162</v>
      </c>
      <c r="K1432">
        <v>3</v>
      </c>
    </row>
    <row r="1433" spans="1:11">
      <c r="A1433" t="s">
        <v>1480</v>
      </c>
      <c r="B1433" t="s">
        <v>21</v>
      </c>
      <c r="C1433" t="s">
        <v>22</v>
      </c>
      <c r="D1433" t="s">
        <v>26</v>
      </c>
      <c r="E1433" s="1">
        <v>45071</v>
      </c>
      <c r="F1433" s="1">
        <v>45072</v>
      </c>
      <c r="G1433">
        <v>30.6</v>
      </c>
      <c r="H1433">
        <v>48.89</v>
      </c>
      <c r="I1433" t="s">
        <v>16</v>
      </c>
      <c r="J1433">
        <v>146</v>
      </c>
      <c r="K1433">
        <v>1</v>
      </c>
    </row>
    <row r="1434" spans="1:11">
      <c r="A1434" t="s">
        <v>1481</v>
      </c>
      <c r="B1434" t="s">
        <v>40</v>
      </c>
      <c r="C1434" t="s">
        <v>22</v>
      </c>
      <c r="D1434" t="s">
        <v>43</v>
      </c>
      <c r="E1434" s="1">
        <v>45143</v>
      </c>
      <c r="F1434" s="1">
        <v>45147</v>
      </c>
      <c r="G1434">
        <v>11.3</v>
      </c>
      <c r="H1434">
        <v>181.83</v>
      </c>
      <c r="I1434" t="s">
        <v>63</v>
      </c>
      <c r="J1434">
        <v>1541</v>
      </c>
      <c r="K1434">
        <v>4</v>
      </c>
    </row>
    <row r="1435" spans="1:11">
      <c r="A1435" t="s">
        <v>1482</v>
      </c>
      <c r="B1435" t="s">
        <v>36</v>
      </c>
      <c r="C1435" t="s">
        <v>18</v>
      </c>
      <c r="D1435" t="s">
        <v>43</v>
      </c>
      <c r="E1435" s="1">
        <v>44971</v>
      </c>
      <c r="F1435" s="1">
        <v>44975</v>
      </c>
      <c r="G1435">
        <v>12.1</v>
      </c>
      <c r="H1435">
        <v>228.01</v>
      </c>
      <c r="I1435" t="s">
        <v>68</v>
      </c>
      <c r="J1435">
        <v>1865</v>
      </c>
      <c r="K1435">
        <v>4</v>
      </c>
    </row>
    <row r="1436" spans="1:11">
      <c r="A1436" t="s">
        <v>1483</v>
      </c>
      <c r="B1436" t="s">
        <v>57</v>
      </c>
      <c r="C1436" t="s">
        <v>71</v>
      </c>
      <c r="D1436" t="s">
        <v>26</v>
      </c>
      <c r="E1436" s="1">
        <v>45035</v>
      </c>
      <c r="F1436" s="1">
        <v>45050</v>
      </c>
      <c r="G1436">
        <v>10.199999999999999</v>
      </c>
      <c r="H1436">
        <v>201.85</v>
      </c>
      <c r="I1436" t="s">
        <v>48</v>
      </c>
      <c r="J1436">
        <v>1659</v>
      </c>
      <c r="K1436">
        <v>5</v>
      </c>
    </row>
    <row r="1437" spans="1:11">
      <c r="A1437" t="s">
        <v>1484</v>
      </c>
      <c r="B1437" t="s">
        <v>57</v>
      </c>
      <c r="C1437" t="s">
        <v>47</v>
      </c>
      <c r="D1437" t="s">
        <v>19</v>
      </c>
      <c r="E1437" s="1">
        <v>45034</v>
      </c>
      <c r="F1437" s="1">
        <v>45038</v>
      </c>
      <c r="G1437">
        <v>10.4</v>
      </c>
      <c r="H1437">
        <v>266.13</v>
      </c>
      <c r="I1437" t="s">
        <v>16</v>
      </c>
      <c r="J1437">
        <v>1924</v>
      </c>
      <c r="K1437">
        <v>4</v>
      </c>
    </row>
    <row r="1438" spans="1:11">
      <c r="A1438" t="s">
        <v>1485</v>
      </c>
      <c r="B1438" t="s">
        <v>24</v>
      </c>
      <c r="C1438" t="s">
        <v>58</v>
      </c>
      <c r="D1438" t="s">
        <v>19</v>
      </c>
      <c r="E1438" s="1">
        <v>44975</v>
      </c>
      <c r="F1438" s="1">
        <v>44985</v>
      </c>
      <c r="G1438">
        <v>19.100000000000001</v>
      </c>
      <c r="H1438">
        <v>70.45</v>
      </c>
      <c r="I1438" t="s">
        <v>48</v>
      </c>
      <c r="J1438">
        <v>302</v>
      </c>
      <c r="K1438">
        <v>2</v>
      </c>
    </row>
    <row r="1439" spans="1:11">
      <c r="A1439" t="s">
        <v>1486</v>
      </c>
      <c r="B1439" t="s">
        <v>24</v>
      </c>
      <c r="C1439" t="s">
        <v>47</v>
      </c>
      <c r="D1439" t="s">
        <v>60</v>
      </c>
      <c r="E1439" s="1">
        <v>44931</v>
      </c>
      <c r="F1439" s="1">
        <v>44935</v>
      </c>
      <c r="G1439">
        <v>111</v>
      </c>
      <c r="H1439">
        <v>301.2</v>
      </c>
      <c r="I1439" t="s">
        <v>16</v>
      </c>
      <c r="J1439">
        <v>1782</v>
      </c>
      <c r="K1439">
        <v>4</v>
      </c>
    </row>
    <row r="1440" spans="1:11">
      <c r="A1440" t="s">
        <v>1487</v>
      </c>
      <c r="B1440" t="s">
        <v>40</v>
      </c>
      <c r="C1440" t="s">
        <v>14</v>
      </c>
      <c r="D1440" t="s">
        <v>38</v>
      </c>
      <c r="E1440" s="1">
        <v>45065</v>
      </c>
      <c r="F1440" s="1">
        <v>45068</v>
      </c>
      <c r="G1440">
        <v>47.3</v>
      </c>
      <c r="H1440">
        <v>144.28</v>
      </c>
      <c r="I1440" t="s">
        <v>61</v>
      </c>
      <c r="J1440">
        <v>854</v>
      </c>
      <c r="K1440">
        <v>3</v>
      </c>
    </row>
    <row r="1441" spans="1:11">
      <c r="A1441" t="s">
        <v>1488</v>
      </c>
      <c r="B1441" t="s">
        <v>36</v>
      </c>
      <c r="C1441" t="s">
        <v>37</v>
      </c>
      <c r="D1441" t="s">
        <v>43</v>
      </c>
      <c r="E1441" s="1">
        <v>44937</v>
      </c>
      <c r="F1441" s="1">
        <v>44943</v>
      </c>
      <c r="G1441">
        <v>24.2</v>
      </c>
      <c r="H1441">
        <v>314.11</v>
      </c>
      <c r="I1441" t="s">
        <v>16</v>
      </c>
      <c r="J1441">
        <v>2469</v>
      </c>
      <c r="K1441">
        <v>6</v>
      </c>
    </row>
    <row r="1442" spans="1:11">
      <c r="A1442" t="s">
        <v>1489</v>
      </c>
      <c r="B1442" t="s">
        <v>50</v>
      </c>
      <c r="C1442" t="s">
        <v>29</v>
      </c>
      <c r="D1442" t="s">
        <v>15</v>
      </c>
      <c r="E1442" s="1">
        <v>44954</v>
      </c>
      <c r="F1442" s="1">
        <v>44955</v>
      </c>
      <c r="G1442">
        <v>7.7</v>
      </c>
      <c r="H1442">
        <v>30.59</v>
      </c>
      <c r="I1442" t="s">
        <v>63</v>
      </c>
      <c r="J1442">
        <v>166</v>
      </c>
      <c r="K1442">
        <v>1</v>
      </c>
    </row>
    <row r="1443" spans="1:11">
      <c r="A1443" t="s">
        <v>1490</v>
      </c>
      <c r="B1443" t="s">
        <v>36</v>
      </c>
      <c r="C1443" t="s">
        <v>14</v>
      </c>
      <c r="D1443" t="s">
        <v>38</v>
      </c>
      <c r="E1443" s="1">
        <v>45219</v>
      </c>
      <c r="F1443" s="1">
        <v>45224</v>
      </c>
      <c r="G1443">
        <v>67.2</v>
      </c>
      <c r="H1443">
        <v>183.1</v>
      </c>
      <c r="I1443" t="s">
        <v>16</v>
      </c>
      <c r="J1443">
        <v>794</v>
      </c>
      <c r="K1443">
        <v>5</v>
      </c>
    </row>
    <row r="1444" spans="1:11">
      <c r="A1444" t="s">
        <v>1491</v>
      </c>
      <c r="B1444" t="s">
        <v>40</v>
      </c>
      <c r="C1444" t="s">
        <v>37</v>
      </c>
      <c r="D1444" t="s">
        <v>33</v>
      </c>
      <c r="E1444" s="1">
        <v>44993</v>
      </c>
      <c r="F1444" s="1">
        <v>44994</v>
      </c>
      <c r="G1444">
        <v>5.8</v>
      </c>
      <c r="H1444">
        <v>83.76</v>
      </c>
      <c r="I1444" t="s">
        <v>61</v>
      </c>
      <c r="J1444">
        <v>528</v>
      </c>
      <c r="K1444">
        <v>1</v>
      </c>
    </row>
    <row r="1445" spans="1:11">
      <c r="A1445" t="s">
        <v>1492</v>
      </c>
      <c r="B1445" t="s">
        <v>28</v>
      </c>
      <c r="C1445" t="s">
        <v>58</v>
      </c>
      <c r="D1445" t="s">
        <v>60</v>
      </c>
      <c r="E1445" s="1">
        <v>45033</v>
      </c>
      <c r="F1445" s="1">
        <v>45039</v>
      </c>
      <c r="G1445">
        <v>11.5</v>
      </c>
      <c r="H1445">
        <v>219.67</v>
      </c>
      <c r="I1445" t="s">
        <v>16</v>
      </c>
      <c r="J1445">
        <v>1908</v>
      </c>
      <c r="K1445">
        <v>6</v>
      </c>
    </row>
    <row r="1446" spans="1:11">
      <c r="A1446" t="s">
        <v>1493</v>
      </c>
      <c r="B1446" t="s">
        <v>31</v>
      </c>
      <c r="C1446" t="s">
        <v>53</v>
      </c>
      <c r="D1446" t="s">
        <v>26</v>
      </c>
      <c r="E1446" s="1">
        <v>45037</v>
      </c>
      <c r="F1446" s="1">
        <v>45053</v>
      </c>
      <c r="G1446">
        <v>41.9</v>
      </c>
      <c r="H1446">
        <v>260.33</v>
      </c>
      <c r="I1446" t="s">
        <v>48</v>
      </c>
      <c r="J1446">
        <v>1800</v>
      </c>
      <c r="K1446">
        <v>4</v>
      </c>
    </row>
    <row r="1447" spans="1:11">
      <c r="A1447" t="s">
        <v>1494</v>
      </c>
      <c r="B1447" t="s">
        <v>52</v>
      </c>
      <c r="C1447" t="s">
        <v>82</v>
      </c>
      <c r="D1447" t="s">
        <v>33</v>
      </c>
      <c r="E1447" s="1">
        <v>45132</v>
      </c>
      <c r="F1447" s="1">
        <v>45134</v>
      </c>
      <c r="G1447">
        <v>22.9</v>
      </c>
      <c r="H1447">
        <v>123.35</v>
      </c>
      <c r="I1447" t="s">
        <v>16</v>
      </c>
      <c r="J1447">
        <v>713</v>
      </c>
      <c r="K1447">
        <v>2</v>
      </c>
    </row>
    <row r="1448" spans="1:11">
      <c r="A1448" t="s">
        <v>1495</v>
      </c>
      <c r="B1448" t="s">
        <v>24</v>
      </c>
      <c r="C1448" t="s">
        <v>82</v>
      </c>
      <c r="D1448" t="s">
        <v>33</v>
      </c>
      <c r="E1448" s="1">
        <v>45059</v>
      </c>
      <c r="F1448" s="1">
        <v>45062</v>
      </c>
      <c r="G1448">
        <v>30.6</v>
      </c>
      <c r="H1448">
        <v>83.44</v>
      </c>
      <c r="I1448" t="s">
        <v>16</v>
      </c>
      <c r="J1448">
        <v>306</v>
      </c>
      <c r="K1448">
        <v>3</v>
      </c>
    </row>
    <row r="1449" spans="1:11">
      <c r="A1449" t="s">
        <v>1496</v>
      </c>
      <c r="B1449" t="s">
        <v>52</v>
      </c>
      <c r="C1449" t="s">
        <v>14</v>
      </c>
      <c r="D1449" t="s">
        <v>43</v>
      </c>
      <c r="E1449" s="1">
        <v>45115</v>
      </c>
      <c r="F1449" s="1">
        <v>45118</v>
      </c>
      <c r="G1449">
        <v>41.7</v>
      </c>
      <c r="H1449">
        <v>91.23</v>
      </c>
      <c r="I1449" t="s">
        <v>16</v>
      </c>
      <c r="J1449">
        <v>302</v>
      </c>
      <c r="K1449">
        <v>3</v>
      </c>
    </row>
    <row r="1450" spans="1:11">
      <c r="A1450" t="s">
        <v>1497</v>
      </c>
      <c r="B1450" t="s">
        <v>36</v>
      </c>
      <c r="C1450" t="s">
        <v>22</v>
      </c>
      <c r="D1450" t="s">
        <v>43</v>
      </c>
      <c r="E1450" s="1">
        <v>45114</v>
      </c>
      <c r="F1450" s="1">
        <v>45120</v>
      </c>
      <c r="G1450">
        <v>35.4</v>
      </c>
      <c r="H1450">
        <v>217.42</v>
      </c>
      <c r="I1450" t="s">
        <v>16</v>
      </c>
      <c r="J1450">
        <v>1655</v>
      </c>
      <c r="K1450">
        <v>6</v>
      </c>
    </row>
    <row r="1451" spans="1:11">
      <c r="A1451" t="s">
        <v>1498</v>
      </c>
      <c r="B1451" t="s">
        <v>36</v>
      </c>
      <c r="C1451" t="s">
        <v>41</v>
      </c>
      <c r="D1451" t="s">
        <v>15</v>
      </c>
      <c r="E1451" s="1">
        <v>44992</v>
      </c>
      <c r="F1451" s="1">
        <v>44995</v>
      </c>
      <c r="G1451">
        <v>36.4</v>
      </c>
      <c r="H1451">
        <v>74.25</v>
      </c>
      <c r="I1451" t="s">
        <v>16</v>
      </c>
      <c r="J1451">
        <v>283</v>
      </c>
      <c r="K1451">
        <v>3</v>
      </c>
    </row>
    <row r="1452" spans="1:11">
      <c r="A1452" t="s">
        <v>1499</v>
      </c>
      <c r="B1452" t="s">
        <v>57</v>
      </c>
      <c r="C1452" t="s">
        <v>55</v>
      </c>
      <c r="D1452" t="s">
        <v>19</v>
      </c>
      <c r="E1452" s="1">
        <v>44960</v>
      </c>
      <c r="F1452" s="1">
        <v>44968</v>
      </c>
      <c r="G1452">
        <v>7.4</v>
      </c>
      <c r="H1452">
        <v>348.3</v>
      </c>
      <c r="I1452" t="s">
        <v>16</v>
      </c>
      <c r="J1452">
        <v>2239</v>
      </c>
      <c r="K1452">
        <v>8</v>
      </c>
    </row>
    <row r="1453" spans="1:11">
      <c r="A1453" t="s">
        <v>1500</v>
      </c>
      <c r="B1453" t="s">
        <v>52</v>
      </c>
      <c r="C1453" t="s">
        <v>14</v>
      </c>
      <c r="D1453" t="s">
        <v>60</v>
      </c>
      <c r="E1453" s="1">
        <v>45290</v>
      </c>
      <c r="F1453" s="1">
        <v>45297</v>
      </c>
      <c r="G1453">
        <v>6.4</v>
      </c>
      <c r="H1453">
        <v>256.19</v>
      </c>
      <c r="I1453" t="s">
        <v>16</v>
      </c>
      <c r="J1453">
        <v>2003</v>
      </c>
      <c r="K1453">
        <v>7</v>
      </c>
    </row>
    <row r="1454" spans="1:11">
      <c r="A1454" t="s">
        <v>1501</v>
      </c>
      <c r="B1454" t="s">
        <v>52</v>
      </c>
      <c r="C1454" t="s">
        <v>14</v>
      </c>
      <c r="D1454" t="s">
        <v>15</v>
      </c>
      <c r="E1454" s="1">
        <v>44929</v>
      </c>
      <c r="F1454" s="1">
        <v>44934</v>
      </c>
      <c r="G1454">
        <v>9.8000000000000007</v>
      </c>
      <c r="H1454">
        <v>223.01</v>
      </c>
      <c r="I1454" t="s">
        <v>16</v>
      </c>
      <c r="J1454">
        <v>1553</v>
      </c>
      <c r="K1454">
        <v>5</v>
      </c>
    </row>
    <row r="1455" spans="1:11">
      <c r="A1455" t="s">
        <v>1502</v>
      </c>
      <c r="B1455" t="s">
        <v>13</v>
      </c>
      <c r="C1455" t="s">
        <v>25</v>
      </c>
      <c r="D1455" t="s">
        <v>43</v>
      </c>
      <c r="E1455" s="1">
        <v>45129</v>
      </c>
      <c r="G1455">
        <v>47.6</v>
      </c>
      <c r="H1455">
        <v>156.85</v>
      </c>
      <c r="I1455" t="s">
        <v>16</v>
      </c>
      <c r="J1455">
        <v>717</v>
      </c>
      <c r="K1455">
        <v>3</v>
      </c>
    </row>
    <row r="1456" spans="1:11">
      <c r="A1456" t="s">
        <v>1503</v>
      </c>
      <c r="B1456" t="s">
        <v>31</v>
      </c>
      <c r="C1456" t="s">
        <v>58</v>
      </c>
      <c r="D1456" t="s">
        <v>38</v>
      </c>
      <c r="E1456" s="1">
        <v>45157</v>
      </c>
      <c r="F1456" s="1">
        <v>45164</v>
      </c>
      <c r="G1456">
        <v>29.2</v>
      </c>
      <c r="H1456">
        <v>279.85000000000002</v>
      </c>
      <c r="I1456" t="s">
        <v>61</v>
      </c>
      <c r="J1456">
        <v>1843</v>
      </c>
      <c r="K1456">
        <v>7</v>
      </c>
    </row>
    <row r="1457" spans="1:11">
      <c r="A1457" t="s">
        <v>1504</v>
      </c>
      <c r="B1457" t="s">
        <v>24</v>
      </c>
      <c r="C1457" t="s">
        <v>53</v>
      </c>
      <c r="D1457" t="s">
        <v>60</v>
      </c>
      <c r="E1457" s="1">
        <v>45042</v>
      </c>
      <c r="F1457" s="1">
        <v>45045</v>
      </c>
      <c r="G1457">
        <v>11.5</v>
      </c>
      <c r="H1457">
        <v>62.46</v>
      </c>
      <c r="I1457" t="s">
        <v>16</v>
      </c>
      <c r="J1457">
        <v>487</v>
      </c>
      <c r="K1457">
        <v>3</v>
      </c>
    </row>
    <row r="1458" spans="1:11">
      <c r="A1458" t="s">
        <v>1505</v>
      </c>
      <c r="B1458" t="s">
        <v>57</v>
      </c>
      <c r="C1458" t="s">
        <v>55</v>
      </c>
      <c r="D1458" t="s">
        <v>60</v>
      </c>
      <c r="E1458" s="1">
        <v>45012</v>
      </c>
      <c r="F1458" s="1">
        <v>45015</v>
      </c>
      <c r="G1458">
        <v>7.5</v>
      </c>
      <c r="H1458">
        <v>141.08000000000001</v>
      </c>
      <c r="I1458" t="s">
        <v>16</v>
      </c>
      <c r="J1458">
        <v>1061</v>
      </c>
      <c r="K1458">
        <v>3</v>
      </c>
    </row>
    <row r="1459" spans="1:11">
      <c r="A1459" t="s">
        <v>1506</v>
      </c>
      <c r="B1459" t="s">
        <v>52</v>
      </c>
      <c r="C1459" t="s">
        <v>41</v>
      </c>
      <c r="D1459" t="s">
        <v>26</v>
      </c>
      <c r="E1459" s="1">
        <v>45203</v>
      </c>
      <c r="F1459" s="1">
        <v>45205</v>
      </c>
      <c r="G1459">
        <v>10</v>
      </c>
      <c r="H1459">
        <v>85.04</v>
      </c>
      <c r="I1459" t="s">
        <v>16</v>
      </c>
      <c r="J1459">
        <v>585</v>
      </c>
      <c r="K1459">
        <v>2</v>
      </c>
    </row>
    <row r="1460" spans="1:11">
      <c r="A1460" t="s">
        <v>1507</v>
      </c>
      <c r="B1460" t="s">
        <v>52</v>
      </c>
      <c r="C1460" t="s">
        <v>82</v>
      </c>
      <c r="D1460" t="s">
        <v>33</v>
      </c>
      <c r="E1460" s="1">
        <v>45007</v>
      </c>
      <c r="F1460" s="1">
        <v>45009</v>
      </c>
      <c r="G1460">
        <v>12.2</v>
      </c>
      <c r="H1460">
        <v>109.31</v>
      </c>
      <c r="I1460" t="s">
        <v>16</v>
      </c>
      <c r="J1460">
        <v>691</v>
      </c>
      <c r="K1460">
        <v>2</v>
      </c>
    </row>
    <row r="1461" spans="1:11">
      <c r="A1461" t="s">
        <v>1508</v>
      </c>
      <c r="B1461" t="s">
        <v>50</v>
      </c>
      <c r="C1461" t="s">
        <v>41</v>
      </c>
      <c r="D1461" t="s">
        <v>38</v>
      </c>
      <c r="E1461" s="1">
        <v>45291</v>
      </c>
      <c r="F1461" s="1">
        <v>45293</v>
      </c>
      <c r="G1461">
        <v>12.1</v>
      </c>
      <c r="H1461">
        <v>163.06</v>
      </c>
      <c r="I1461" t="s">
        <v>16</v>
      </c>
      <c r="J1461">
        <v>1097</v>
      </c>
      <c r="K1461">
        <v>2</v>
      </c>
    </row>
    <row r="1462" spans="1:11">
      <c r="A1462" t="s">
        <v>1509</v>
      </c>
      <c r="B1462" t="s">
        <v>31</v>
      </c>
      <c r="C1462" t="s">
        <v>53</v>
      </c>
      <c r="D1462" t="s">
        <v>15</v>
      </c>
      <c r="E1462" s="1">
        <v>45112</v>
      </c>
      <c r="F1462" s="1">
        <v>45115</v>
      </c>
      <c r="G1462">
        <v>100.9</v>
      </c>
      <c r="H1462">
        <v>172.46</v>
      </c>
      <c r="I1462" t="s">
        <v>16</v>
      </c>
      <c r="J1462">
        <v>390</v>
      </c>
      <c r="K1462">
        <v>3</v>
      </c>
    </row>
    <row r="1463" spans="1:11">
      <c r="A1463" t="s">
        <v>1510</v>
      </c>
      <c r="B1463" t="s">
        <v>31</v>
      </c>
      <c r="C1463" t="s">
        <v>47</v>
      </c>
      <c r="D1463" t="s">
        <v>38</v>
      </c>
      <c r="E1463" s="1">
        <v>45128</v>
      </c>
      <c r="F1463" s="1">
        <v>45134</v>
      </c>
      <c r="G1463">
        <v>29.2</v>
      </c>
      <c r="H1463">
        <v>323.13</v>
      </c>
      <c r="I1463" t="s">
        <v>16</v>
      </c>
      <c r="J1463">
        <v>2216</v>
      </c>
      <c r="K1463">
        <v>6</v>
      </c>
    </row>
    <row r="1464" spans="1:11">
      <c r="A1464" t="s">
        <v>1511</v>
      </c>
      <c r="B1464" t="s">
        <v>28</v>
      </c>
      <c r="C1464" t="s">
        <v>53</v>
      </c>
      <c r="D1464" t="s">
        <v>19</v>
      </c>
      <c r="E1464" s="1">
        <v>44960</v>
      </c>
      <c r="F1464" s="1">
        <v>44967</v>
      </c>
      <c r="G1464">
        <v>34.4</v>
      </c>
      <c r="H1464">
        <v>214.6</v>
      </c>
      <c r="I1464" t="s">
        <v>16</v>
      </c>
      <c r="J1464">
        <v>1229</v>
      </c>
      <c r="K1464">
        <v>7</v>
      </c>
    </row>
    <row r="1465" spans="1:11">
      <c r="A1465" t="s">
        <v>1512</v>
      </c>
      <c r="B1465" t="s">
        <v>52</v>
      </c>
      <c r="C1465" t="s">
        <v>58</v>
      </c>
      <c r="D1465" t="s">
        <v>38</v>
      </c>
      <c r="E1465" s="1">
        <v>45117</v>
      </c>
      <c r="F1465" s="1">
        <v>45122</v>
      </c>
      <c r="G1465">
        <v>27.8</v>
      </c>
      <c r="H1465">
        <v>239.99</v>
      </c>
      <c r="I1465" t="s">
        <v>63</v>
      </c>
      <c r="J1465">
        <v>1591</v>
      </c>
      <c r="K1465">
        <v>5</v>
      </c>
    </row>
    <row r="1466" spans="1:11">
      <c r="A1466" t="s">
        <v>1513</v>
      </c>
      <c r="B1466" t="s">
        <v>21</v>
      </c>
      <c r="C1466" t="s">
        <v>32</v>
      </c>
      <c r="D1466" t="s">
        <v>60</v>
      </c>
      <c r="E1466" s="1">
        <v>45278</v>
      </c>
      <c r="F1466" s="1">
        <v>45283</v>
      </c>
      <c r="G1466">
        <v>32.6</v>
      </c>
      <c r="H1466">
        <v>164.69</v>
      </c>
      <c r="I1466" t="s">
        <v>16</v>
      </c>
      <c r="J1466">
        <v>807</v>
      </c>
      <c r="K1466">
        <v>5</v>
      </c>
    </row>
    <row r="1467" spans="1:11">
      <c r="A1467" t="s">
        <v>1514</v>
      </c>
      <c r="B1467" t="s">
        <v>52</v>
      </c>
      <c r="C1467" t="s">
        <v>29</v>
      </c>
      <c r="D1467" t="s">
        <v>60</v>
      </c>
      <c r="E1467" s="1">
        <v>45248</v>
      </c>
      <c r="F1467" s="1">
        <v>45253</v>
      </c>
      <c r="G1467">
        <v>23.1</v>
      </c>
      <c r="H1467">
        <v>176.66</v>
      </c>
      <c r="I1467" t="s">
        <v>16</v>
      </c>
      <c r="J1467">
        <v>1065</v>
      </c>
      <c r="K1467">
        <v>5</v>
      </c>
    </row>
    <row r="1468" spans="1:11">
      <c r="A1468" t="s">
        <v>1515</v>
      </c>
      <c r="B1468" t="s">
        <v>24</v>
      </c>
      <c r="C1468" t="s">
        <v>58</v>
      </c>
      <c r="D1468" t="s">
        <v>43</v>
      </c>
      <c r="E1468" s="1">
        <v>45066</v>
      </c>
      <c r="F1468" s="1">
        <v>45069</v>
      </c>
      <c r="G1468">
        <v>14</v>
      </c>
      <c r="H1468">
        <v>184.53</v>
      </c>
      <c r="I1468" t="s">
        <v>16</v>
      </c>
      <c r="J1468">
        <v>1408</v>
      </c>
      <c r="K1468">
        <v>3</v>
      </c>
    </row>
    <row r="1469" spans="1:11">
      <c r="A1469" t="s">
        <v>1516</v>
      </c>
      <c r="B1469" t="s">
        <v>24</v>
      </c>
      <c r="C1469" t="s">
        <v>82</v>
      </c>
      <c r="D1469" t="s">
        <v>19</v>
      </c>
      <c r="E1469" s="1">
        <v>45017</v>
      </c>
      <c r="F1469" s="1">
        <v>45020</v>
      </c>
      <c r="G1469">
        <v>71.7</v>
      </c>
      <c r="H1469">
        <v>188.04</v>
      </c>
      <c r="I1469" t="s">
        <v>16</v>
      </c>
      <c r="J1469">
        <v>635</v>
      </c>
      <c r="K1469">
        <v>3</v>
      </c>
    </row>
    <row r="1470" spans="1:11">
      <c r="A1470" t="s">
        <v>1517</v>
      </c>
      <c r="B1470" t="s">
        <v>36</v>
      </c>
      <c r="C1470" t="s">
        <v>82</v>
      </c>
      <c r="D1470" t="s">
        <v>60</v>
      </c>
      <c r="E1470" s="1">
        <v>45284</v>
      </c>
      <c r="F1470" s="1">
        <v>45254</v>
      </c>
      <c r="G1470">
        <v>10.7</v>
      </c>
      <c r="H1470">
        <v>152.15</v>
      </c>
      <c r="I1470" t="s">
        <v>16</v>
      </c>
      <c r="J1470">
        <v>1000</v>
      </c>
      <c r="K1470">
        <v>3</v>
      </c>
    </row>
    <row r="1471" spans="1:11">
      <c r="A1471" t="s">
        <v>1518</v>
      </c>
      <c r="B1471" t="s">
        <v>57</v>
      </c>
      <c r="C1471" t="s">
        <v>82</v>
      </c>
      <c r="D1471" t="s">
        <v>33</v>
      </c>
      <c r="E1471" s="1">
        <v>45271</v>
      </c>
      <c r="F1471" s="1">
        <v>45272</v>
      </c>
      <c r="G1471">
        <v>70.599999999999994</v>
      </c>
      <c r="H1471">
        <v>151.86000000000001</v>
      </c>
      <c r="I1471" t="s">
        <v>16</v>
      </c>
      <c r="J1471">
        <v>323</v>
      </c>
      <c r="K1471">
        <v>1</v>
      </c>
    </row>
    <row r="1472" spans="1:11">
      <c r="A1472" t="s">
        <v>1519</v>
      </c>
      <c r="B1472" t="s">
        <v>28</v>
      </c>
      <c r="C1472" t="s">
        <v>53</v>
      </c>
      <c r="D1472" t="s">
        <v>19</v>
      </c>
      <c r="E1472" s="1">
        <v>45158</v>
      </c>
      <c r="F1472" s="1">
        <v>45163</v>
      </c>
      <c r="G1472">
        <v>54.4</v>
      </c>
      <c r="H1472">
        <v>266.93</v>
      </c>
      <c r="I1472" t="s">
        <v>16</v>
      </c>
      <c r="J1472">
        <v>1340</v>
      </c>
      <c r="K1472">
        <v>5</v>
      </c>
    </row>
    <row r="1473" spans="1:11">
      <c r="A1473" t="s">
        <v>1520</v>
      </c>
      <c r="B1473" t="s">
        <v>24</v>
      </c>
      <c r="C1473" t="s">
        <v>18</v>
      </c>
      <c r="D1473" t="s">
        <v>26</v>
      </c>
      <c r="E1473" s="1">
        <v>45063</v>
      </c>
      <c r="F1473" s="1">
        <v>45067</v>
      </c>
      <c r="G1473">
        <v>20.100000000000001</v>
      </c>
      <c r="H1473">
        <v>74.849999999999994</v>
      </c>
      <c r="I1473" t="s">
        <v>16</v>
      </c>
      <c r="J1473">
        <v>451</v>
      </c>
      <c r="K1473">
        <v>4</v>
      </c>
    </row>
    <row r="1474" spans="1:11">
      <c r="A1474" t="s">
        <v>1521</v>
      </c>
      <c r="B1474" t="s">
        <v>57</v>
      </c>
      <c r="C1474" t="s">
        <v>14</v>
      </c>
      <c r="D1474" t="s">
        <v>26</v>
      </c>
      <c r="E1474" s="1">
        <v>45047</v>
      </c>
      <c r="F1474" s="1">
        <v>45051</v>
      </c>
      <c r="G1474">
        <v>11.3</v>
      </c>
      <c r="H1474">
        <v>176.58</v>
      </c>
      <c r="I1474" t="s">
        <v>16</v>
      </c>
      <c r="J1474">
        <v>1360</v>
      </c>
      <c r="K1474">
        <v>4</v>
      </c>
    </row>
    <row r="1475" spans="1:11">
      <c r="A1475" t="s">
        <v>1522</v>
      </c>
      <c r="B1475" t="s">
        <v>13</v>
      </c>
      <c r="C1475" t="s">
        <v>71</v>
      </c>
      <c r="D1475" t="s">
        <v>26</v>
      </c>
      <c r="E1475" s="1">
        <v>45287</v>
      </c>
      <c r="F1475" s="1">
        <v>45292</v>
      </c>
      <c r="G1475">
        <v>14.8</v>
      </c>
      <c r="H1475">
        <v>318.26</v>
      </c>
      <c r="I1475" t="s">
        <v>16</v>
      </c>
      <c r="J1475">
        <v>2212</v>
      </c>
      <c r="K1475">
        <v>5</v>
      </c>
    </row>
    <row r="1476" spans="1:11">
      <c r="A1476" t="s">
        <v>1523</v>
      </c>
      <c r="B1476" t="s">
        <v>21</v>
      </c>
      <c r="C1476" t="s">
        <v>37</v>
      </c>
      <c r="D1476" t="s">
        <v>19</v>
      </c>
      <c r="E1476" s="1">
        <v>45140</v>
      </c>
      <c r="F1476" s="1">
        <v>45146</v>
      </c>
      <c r="G1476">
        <v>28.4</v>
      </c>
      <c r="H1476">
        <v>390.3</v>
      </c>
      <c r="I1476" t="s">
        <v>16</v>
      </c>
      <c r="J1476">
        <v>2293</v>
      </c>
      <c r="K1476">
        <v>6</v>
      </c>
    </row>
    <row r="1477" spans="1:11">
      <c r="A1477" t="s">
        <v>1524</v>
      </c>
      <c r="B1477" t="s">
        <v>13</v>
      </c>
      <c r="C1477" t="s">
        <v>37</v>
      </c>
      <c r="D1477" t="s">
        <v>15</v>
      </c>
      <c r="E1477" s="1">
        <v>45252</v>
      </c>
      <c r="F1477" s="1">
        <v>45258</v>
      </c>
      <c r="G1477">
        <v>28.1</v>
      </c>
      <c r="H1477">
        <v>303.52999999999997</v>
      </c>
      <c r="I1477" t="s">
        <v>16</v>
      </c>
      <c r="J1477">
        <v>1711</v>
      </c>
      <c r="K1477">
        <v>6</v>
      </c>
    </row>
    <row r="1478" spans="1:11">
      <c r="A1478" t="s">
        <v>1525</v>
      </c>
      <c r="B1478" t="s">
        <v>31</v>
      </c>
      <c r="C1478" t="s">
        <v>25</v>
      </c>
      <c r="D1478" t="s">
        <v>33</v>
      </c>
      <c r="E1478" s="1">
        <v>45143</v>
      </c>
      <c r="F1478" s="1">
        <v>45147</v>
      </c>
      <c r="G1478">
        <v>153</v>
      </c>
      <c r="H1478">
        <v>334.41</v>
      </c>
      <c r="I1478" t="s">
        <v>16</v>
      </c>
      <c r="J1478">
        <v>1058</v>
      </c>
      <c r="K1478">
        <v>4</v>
      </c>
    </row>
    <row r="1479" spans="1:11">
      <c r="A1479" t="s">
        <v>1526</v>
      </c>
      <c r="B1479" t="s">
        <v>13</v>
      </c>
      <c r="C1479" t="s">
        <v>14</v>
      </c>
      <c r="D1479" t="s">
        <v>19</v>
      </c>
      <c r="E1479" s="1">
        <v>45169</v>
      </c>
      <c r="F1479" s="1">
        <v>45172</v>
      </c>
      <c r="G1479">
        <v>14.2</v>
      </c>
      <c r="H1479">
        <v>101.86</v>
      </c>
      <c r="I1479" t="s">
        <v>16</v>
      </c>
      <c r="J1479">
        <v>580</v>
      </c>
      <c r="K1479">
        <v>3</v>
      </c>
    </row>
    <row r="1480" spans="1:11">
      <c r="A1480" t="s">
        <v>1527</v>
      </c>
      <c r="B1480" t="s">
        <v>52</v>
      </c>
      <c r="C1480" t="s">
        <v>41</v>
      </c>
      <c r="D1480" t="s">
        <v>33</v>
      </c>
      <c r="E1480" s="1">
        <v>45207</v>
      </c>
      <c r="F1480" s="1">
        <v>45212</v>
      </c>
      <c r="G1480">
        <v>34</v>
      </c>
      <c r="H1480">
        <v>228.26</v>
      </c>
      <c r="I1480" t="s">
        <v>16</v>
      </c>
      <c r="J1480">
        <v>1463</v>
      </c>
      <c r="K1480">
        <v>5</v>
      </c>
    </row>
    <row r="1481" spans="1:11">
      <c r="A1481" t="s">
        <v>1528</v>
      </c>
      <c r="B1481" t="s">
        <v>28</v>
      </c>
      <c r="C1481" t="s">
        <v>32</v>
      </c>
      <c r="D1481" t="s">
        <v>43</v>
      </c>
      <c r="E1481" s="1">
        <v>44992</v>
      </c>
      <c r="F1481" s="1">
        <v>45005</v>
      </c>
      <c r="G1481">
        <v>30.1</v>
      </c>
      <c r="H1481">
        <v>101.62</v>
      </c>
      <c r="I1481" t="s">
        <v>48</v>
      </c>
      <c r="J1481">
        <v>615</v>
      </c>
      <c r="K1481">
        <v>2</v>
      </c>
    </row>
    <row r="1482" spans="1:11">
      <c r="A1482" t="s">
        <v>1529</v>
      </c>
      <c r="B1482" t="s">
        <v>28</v>
      </c>
      <c r="C1482" t="s">
        <v>18</v>
      </c>
      <c r="D1482" t="s">
        <v>43</v>
      </c>
      <c r="E1482" s="1">
        <v>45031</v>
      </c>
      <c r="F1482" s="1">
        <v>45035</v>
      </c>
      <c r="G1482">
        <v>79.099999999999994</v>
      </c>
      <c r="H1482">
        <v>264.42</v>
      </c>
      <c r="I1482" t="s">
        <v>16</v>
      </c>
      <c r="J1482">
        <v>1487</v>
      </c>
      <c r="K1482">
        <v>4</v>
      </c>
    </row>
    <row r="1483" spans="1:11">
      <c r="A1483" t="s">
        <v>1530</v>
      </c>
      <c r="B1483" t="s">
        <v>40</v>
      </c>
      <c r="C1483" t="s">
        <v>29</v>
      </c>
      <c r="D1483" t="s">
        <v>26</v>
      </c>
      <c r="E1483" s="1">
        <v>45120</v>
      </c>
      <c r="F1483" s="1">
        <v>45123</v>
      </c>
      <c r="G1483">
        <v>8.1</v>
      </c>
      <c r="H1483">
        <v>188.86</v>
      </c>
      <c r="I1483" t="s">
        <v>16</v>
      </c>
      <c r="J1483">
        <v>1472</v>
      </c>
      <c r="K1483">
        <v>3</v>
      </c>
    </row>
    <row r="1484" spans="1:11">
      <c r="A1484" t="s">
        <v>1531</v>
      </c>
      <c r="B1484" t="s">
        <v>52</v>
      </c>
      <c r="C1484" t="s">
        <v>53</v>
      </c>
      <c r="D1484" t="s">
        <v>26</v>
      </c>
      <c r="E1484" s="1">
        <v>45192</v>
      </c>
      <c r="F1484" s="1">
        <v>45162</v>
      </c>
      <c r="G1484">
        <v>22.7</v>
      </c>
      <c r="H1484">
        <v>110.05</v>
      </c>
      <c r="I1484" t="s">
        <v>16</v>
      </c>
      <c r="J1484">
        <v>787</v>
      </c>
      <c r="K1484">
        <v>3</v>
      </c>
    </row>
    <row r="1485" spans="1:11">
      <c r="A1485" t="s">
        <v>1532</v>
      </c>
      <c r="B1485" t="s">
        <v>24</v>
      </c>
      <c r="C1485" t="s">
        <v>22</v>
      </c>
      <c r="D1485" t="s">
        <v>19</v>
      </c>
      <c r="E1485" s="1">
        <v>45177</v>
      </c>
      <c r="F1485" s="1">
        <v>45180</v>
      </c>
      <c r="G1485">
        <v>21.8</v>
      </c>
      <c r="H1485">
        <v>202.57</v>
      </c>
      <c r="I1485" t="s">
        <v>16</v>
      </c>
      <c r="J1485">
        <v>1364</v>
      </c>
      <c r="K1485">
        <v>3</v>
      </c>
    </row>
    <row r="1486" spans="1:11">
      <c r="A1486" t="s">
        <v>1533</v>
      </c>
      <c r="B1486" t="s">
        <v>21</v>
      </c>
      <c r="C1486" t="s">
        <v>71</v>
      </c>
      <c r="D1486" t="s">
        <v>33</v>
      </c>
      <c r="E1486" s="1">
        <v>45055</v>
      </c>
      <c r="F1486" s="1">
        <v>45059</v>
      </c>
      <c r="G1486">
        <v>12</v>
      </c>
      <c r="H1486">
        <v>178.39</v>
      </c>
      <c r="I1486" t="s">
        <v>16</v>
      </c>
      <c r="J1486">
        <v>1377</v>
      </c>
      <c r="K1486">
        <v>4</v>
      </c>
    </row>
    <row r="1487" spans="1:11">
      <c r="A1487" t="s">
        <v>1534</v>
      </c>
      <c r="B1487" t="s">
        <v>50</v>
      </c>
      <c r="C1487" t="s">
        <v>14</v>
      </c>
      <c r="D1487" t="s">
        <v>15</v>
      </c>
      <c r="E1487" s="1">
        <v>44964</v>
      </c>
      <c r="F1487" s="1">
        <v>44969</v>
      </c>
      <c r="G1487">
        <v>11.3</v>
      </c>
      <c r="H1487">
        <v>199.25</v>
      </c>
      <c r="I1487" t="s">
        <v>16</v>
      </c>
      <c r="J1487">
        <v>1332</v>
      </c>
      <c r="K1487">
        <v>5</v>
      </c>
    </row>
    <row r="1488" spans="1:11">
      <c r="A1488" t="s">
        <v>1535</v>
      </c>
      <c r="B1488" t="s">
        <v>40</v>
      </c>
      <c r="C1488" t="s">
        <v>53</v>
      </c>
      <c r="D1488" t="s">
        <v>60</v>
      </c>
      <c r="E1488" s="1">
        <v>45159</v>
      </c>
      <c r="F1488" s="1">
        <v>45163</v>
      </c>
      <c r="G1488">
        <v>21.5</v>
      </c>
      <c r="H1488">
        <v>154.34</v>
      </c>
      <c r="I1488" t="s">
        <v>16</v>
      </c>
      <c r="J1488">
        <v>1209</v>
      </c>
      <c r="K1488">
        <v>4</v>
      </c>
    </row>
    <row r="1489" spans="1:11">
      <c r="A1489" t="s">
        <v>1536</v>
      </c>
      <c r="B1489" t="s">
        <v>24</v>
      </c>
      <c r="C1489" t="s">
        <v>58</v>
      </c>
      <c r="D1489" t="s">
        <v>19</v>
      </c>
      <c r="E1489" s="1">
        <v>45238</v>
      </c>
      <c r="F1489" s="1">
        <v>45243</v>
      </c>
      <c r="G1489">
        <v>17.8</v>
      </c>
      <c r="H1489">
        <v>407.33</v>
      </c>
      <c r="I1489" t="s">
        <v>16</v>
      </c>
      <c r="J1489">
        <v>2300</v>
      </c>
      <c r="K1489">
        <v>5</v>
      </c>
    </row>
    <row r="1490" spans="1:11">
      <c r="A1490" t="s">
        <v>1537</v>
      </c>
      <c r="B1490" t="s">
        <v>24</v>
      </c>
      <c r="C1490" t="s">
        <v>53</v>
      </c>
      <c r="D1490" t="s">
        <v>60</v>
      </c>
      <c r="E1490" s="1">
        <v>44960</v>
      </c>
      <c r="F1490" s="1">
        <v>44961</v>
      </c>
      <c r="G1490">
        <v>22.5</v>
      </c>
      <c r="H1490">
        <v>63.76</v>
      </c>
      <c r="I1490" t="s">
        <v>63</v>
      </c>
      <c r="J1490">
        <v>289</v>
      </c>
      <c r="K1490">
        <v>1</v>
      </c>
    </row>
    <row r="1491" spans="1:11">
      <c r="A1491" t="s">
        <v>1538</v>
      </c>
      <c r="B1491" t="s">
        <v>36</v>
      </c>
      <c r="C1491" t="s">
        <v>82</v>
      </c>
      <c r="D1491" t="s">
        <v>15</v>
      </c>
      <c r="E1491" s="1">
        <v>45074</v>
      </c>
      <c r="F1491" s="1">
        <v>45078</v>
      </c>
      <c r="G1491">
        <v>15.8</v>
      </c>
      <c r="H1491">
        <v>152.19999999999999</v>
      </c>
      <c r="I1491" t="s">
        <v>16</v>
      </c>
      <c r="J1491">
        <v>1000</v>
      </c>
      <c r="K1491">
        <v>4</v>
      </c>
    </row>
    <row r="1492" spans="1:11">
      <c r="A1492" t="s">
        <v>1539</v>
      </c>
      <c r="B1492" t="s">
        <v>50</v>
      </c>
      <c r="C1492" t="s">
        <v>25</v>
      </c>
      <c r="D1492" t="s">
        <v>43</v>
      </c>
      <c r="E1492" s="1">
        <v>45174</v>
      </c>
      <c r="F1492" s="1">
        <v>45178</v>
      </c>
      <c r="G1492">
        <v>11.8</v>
      </c>
      <c r="H1492">
        <v>88.65</v>
      </c>
      <c r="I1492" t="s">
        <v>16</v>
      </c>
      <c r="J1492">
        <v>670</v>
      </c>
      <c r="K1492">
        <v>4</v>
      </c>
    </row>
    <row r="1493" spans="1:11">
      <c r="A1493" t="s">
        <v>1540</v>
      </c>
      <c r="B1493" t="s">
        <v>50</v>
      </c>
      <c r="C1493" t="s">
        <v>47</v>
      </c>
      <c r="D1493" t="s">
        <v>19</v>
      </c>
      <c r="E1493" s="1">
        <v>45047</v>
      </c>
      <c r="F1493" s="1">
        <v>45053</v>
      </c>
      <c r="G1493">
        <v>11.6</v>
      </c>
      <c r="H1493">
        <v>359.48</v>
      </c>
      <c r="I1493" t="s">
        <v>16</v>
      </c>
      <c r="J1493">
        <v>2379</v>
      </c>
      <c r="K1493">
        <v>6</v>
      </c>
    </row>
    <row r="1494" spans="1:11">
      <c r="A1494" t="s">
        <v>1541</v>
      </c>
      <c r="B1494" t="s">
        <v>24</v>
      </c>
      <c r="C1494" t="s">
        <v>14</v>
      </c>
      <c r="D1494" t="s">
        <v>26</v>
      </c>
      <c r="E1494" s="1">
        <v>45196</v>
      </c>
      <c r="F1494" s="1">
        <v>45197</v>
      </c>
      <c r="G1494">
        <v>13.8</v>
      </c>
      <c r="H1494">
        <v>50.83</v>
      </c>
      <c r="I1494" t="s">
        <v>16</v>
      </c>
      <c r="J1494">
        <v>274</v>
      </c>
      <c r="K1494">
        <v>1</v>
      </c>
    </row>
    <row r="1495" spans="1:11">
      <c r="A1495" t="s">
        <v>1542</v>
      </c>
      <c r="B1495" t="s">
        <v>28</v>
      </c>
      <c r="C1495" t="s">
        <v>47</v>
      </c>
      <c r="D1495" t="s">
        <v>15</v>
      </c>
      <c r="E1495" s="1">
        <v>45052</v>
      </c>
      <c r="F1495" s="1">
        <v>45056</v>
      </c>
      <c r="G1495">
        <v>33.299999999999997</v>
      </c>
      <c r="H1495">
        <v>236.83</v>
      </c>
      <c r="I1495" t="s">
        <v>68</v>
      </c>
      <c r="J1495">
        <v>1438</v>
      </c>
      <c r="K1495">
        <v>4</v>
      </c>
    </row>
    <row r="1496" spans="1:11">
      <c r="A1496" t="s">
        <v>1543</v>
      </c>
      <c r="B1496" t="s">
        <v>57</v>
      </c>
      <c r="C1496" t="s">
        <v>25</v>
      </c>
      <c r="D1496" t="s">
        <v>60</v>
      </c>
      <c r="E1496" s="1">
        <v>45160</v>
      </c>
      <c r="F1496" s="1">
        <v>45165</v>
      </c>
      <c r="G1496">
        <v>13.2</v>
      </c>
      <c r="H1496">
        <v>269.86</v>
      </c>
      <c r="I1496" t="s">
        <v>16</v>
      </c>
      <c r="J1496">
        <v>2309</v>
      </c>
      <c r="K1496">
        <v>5</v>
      </c>
    </row>
    <row r="1497" spans="1:11">
      <c r="A1497" t="s">
        <v>1544</v>
      </c>
      <c r="B1497" t="s">
        <v>21</v>
      </c>
      <c r="C1497" t="s">
        <v>45</v>
      </c>
      <c r="D1497" t="s">
        <v>38</v>
      </c>
      <c r="E1497" s="1">
        <v>45070</v>
      </c>
      <c r="F1497" s="1">
        <v>45074</v>
      </c>
      <c r="G1497">
        <v>29.9</v>
      </c>
      <c r="H1497">
        <v>235.86</v>
      </c>
      <c r="I1497" t="s">
        <v>16</v>
      </c>
      <c r="J1497">
        <v>1581</v>
      </c>
      <c r="K1497">
        <v>4</v>
      </c>
    </row>
    <row r="1498" spans="1:11">
      <c r="A1498" t="s">
        <v>1545</v>
      </c>
      <c r="B1498" t="s">
        <v>52</v>
      </c>
      <c r="C1498" t="s">
        <v>32</v>
      </c>
      <c r="D1498" t="s">
        <v>43</v>
      </c>
      <c r="E1498" s="1">
        <v>45015</v>
      </c>
      <c r="F1498" s="1">
        <v>45018</v>
      </c>
      <c r="G1498">
        <v>16.100000000000001</v>
      </c>
      <c r="H1498">
        <v>127.74</v>
      </c>
      <c r="I1498" t="s">
        <v>16</v>
      </c>
      <c r="J1498">
        <v>932</v>
      </c>
      <c r="K1498">
        <v>3</v>
      </c>
    </row>
    <row r="1499" spans="1:11">
      <c r="A1499" t="s">
        <v>1546</v>
      </c>
      <c r="B1499" t="s">
        <v>40</v>
      </c>
      <c r="C1499" t="s">
        <v>58</v>
      </c>
      <c r="D1499" t="s">
        <v>19</v>
      </c>
      <c r="E1499" s="1">
        <v>45218</v>
      </c>
      <c r="F1499" s="1">
        <v>45219</v>
      </c>
      <c r="G1499">
        <v>10.8</v>
      </c>
      <c r="I1499" t="s">
        <v>16</v>
      </c>
      <c r="J1499">
        <v>185</v>
      </c>
      <c r="K1499">
        <v>1</v>
      </c>
    </row>
    <row r="1500" spans="1:11">
      <c r="A1500" t="s">
        <v>1547</v>
      </c>
      <c r="B1500" t="s">
        <v>40</v>
      </c>
      <c r="C1500" t="s">
        <v>47</v>
      </c>
      <c r="D1500" t="s">
        <v>15</v>
      </c>
      <c r="E1500" s="1">
        <v>45107</v>
      </c>
      <c r="F1500" s="1">
        <v>45111</v>
      </c>
      <c r="G1500">
        <v>19.399999999999999</v>
      </c>
      <c r="H1500">
        <v>116.18</v>
      </c>
      <c r="I1500" t="s">
        <v>63</v>
      </c>
      <c r="J1500">
        <v>812</v>
      </c>
      <c r="K1500">
        <v>4</v>
      </c>
    </row>
    <row r="1501" spans="1:11">
      <c r="A1501" t="s">
        <v>1548</v>
      </c>
      <c r="B1501" t="s">
        <v>40</v>
      </c>
      <c r="C1501" t="s">
        <v>53</v>
      </c>
      <c r="D1501" t="s">
        <v>15</v>
      </c>
      <c r="E1501" s="1">
        <v>45032</v>
      </c>
      <c r="F1501" s="1">
        <v>45035</v>
      </c>
      <c r="G1501">
        <v>37.700000000000003</v>
      </c>
      <c r="H1501">
        <v>164.72</v>
      </c>
      <c r="I1501" t="s">
        <v>63</v>
      </c>
      <c r="J1501">
        <v>925</v>
      </c>
      <c r="K1501">
        <v>3</v>
      </c>
    </row>
    <row r="1502" spans="1:11">
      <c r="A1502" t="s">
        <v>1549</v>
      </c>
      <c r="B1502" t="s">
        <v>24</v>
      </c>
      <c r="C1502" t="s">
        <v>37</v>
      </c>
      <c r="D1502" t="s">
        <v>38</v>
      </c>
      <c r="E1502" s="1">
        <v>45181</v>
      </c>
      <c r="F1502" s="1">
        <v>45196</v>
      </c>
      <c r="G1502">
        <v>16</v>
      </c>
      <c r="H1502">
        <v>110.54</v>
      </c>
      <c r="I1502" t="s">
        <v>48</v>
      </c>
      <c r="J1502">
        <v>770</v>
      </c>
      <c r="K1502">
        <v>6</v>
      </c>
    </row>
    <row r="1503" spans="1:11">
      <c r="A1503" t="s">
        <v>1550</v>
      </c>
      <c r="B1503" t="s">
        <v>24</v>
      </c>
      <c r="C1503" t="s">
        <v>18</v>
      </c>
      <c r="D1503" t="s">
        <v>15</v>
      </c>
      <c r="E1503" s="1">
        <v>44991</v>
      </c>
      <c r="F1503" s="1">
        <v>44996</v>
      </c>
      <c r="G1503">
        <v>26.2</v>
      </c>
      <c r="H1503">
        <v>212.17</v>
      </c>
      <c r="I1503" t="s">
        <v>16</v>
      </c>
      <c r="J1503">
        <v>1541</v>
      </c>
      <c r="K1503">
        <v>5</v>
      </c>
    </row>
    <row r="1504" spans="1:11">
      <c r="A1504" t="s">
        <v>1551</v>
      </c>
      <c r="B1504" t="s">
        <v>13</v>
      </c>
      <c r="C1504" t="s">
        <v>45</v>
      </c>
      <c r="D1504" t="s">
        <v>33</v>
      </c>
      <c r="E1504" s="1">
        <v>45128</v>
      </c>
      <c r="F1504" s="1">
        <v>45131</v>
      </c>
      <c r="G1504">
        <v>18.399999999999999</v>
      </c>
      <c r="H1504">
        <v>149.34</v>
      </c>
      <c r="I1504" t="s">
        <v>16</v>
      </c>
      <c r="J1504">
        <v>974</v>
      </c>
      <c r="K1504">
        <v>3</v>
      </c>
    </row>
    <row r="1505" spans="1:11">
      <c r="A1505" t="s">
        <v>1552</v>
      </c>
      <c r="B1505" t="s">
        <v>36</v>
      </c>
      <c r="C1505" t="s">
        <v>82</v>
      </c>
      <c r="D1505" t="s">
        <v>33</v>
      </c>
      <c r="E1505" s="1">
        <v>45156</v>
      </c>
      <c r="F1505" s="1">
        <v>45158</v>
      </c>
      <c r="G1505">
        <v>22.3</v>
      </c>
      <c r="H1505">
        <v>151.26</v>
      </c>
      <c r="I1505" t="s">
        <v>16</v>
      </c>
      <c r="J1505">
        <v>1000</v>
      </c>
      <c r="K1505">
        <v>2</v>
      </c>
    </row>
    <row r="1506" spans="1:11">
      <c r="A1506" t="s">
        <v>1553</v>
      </c>
      <c r="B1506" t="s">
        <v>52</v>
      </c>
      <c r="C1506" t="s">
        <v>55</v>
      </c>
      <c r="D1506" t="s">
        <v>38</v>
      </c>
      <c r="E1506" s="1">
        <v>45194</v>
      </c>
      <c r="F1506" s="1">
        <v>45195</v>
      </c>
      <c r="G1506">
        <v>21.1</v>
      </c>
      <c r="H1506">
        <v>49.13</v>
      </c>
      <c r="I1506" t="s">
        <v>16</v>
      </c>
      <c r="J1506">
        <v>190</v>
      </c>
      <c r="K1506">
        <v>1</v>
      </c>
    </row>
    <row r="1507" spans="1:11">
      <c r="A1507" t="s">
        <v>1554</v>
      </c>
      <c r="B1507" t="s">
        <v>31</v>
      </c>
      <c r="C1507" t="s">
        <v>58</v>
      </c>
      <c r="D1507" t="s">
        <v>26</v>
      </c>
      <c r="E1507" s="1">
        <v>45107</v>
      </c>
      <c r="F1507" s="1">
        <v>45118</v>
      </c>
      <c r="G1507">
        <v>7.7</v>
      </c>
      <c r="H1507">
        <v>157.65</v>
      </c>
      <c r="I1507" t="s">
        <v>48</v>
      </c>
      <c r="J1507">
        <v>1140</v>
      </c>
      <c r="K1507">
        <v>3</v>
      </c>
    </row>
    <row r="1508" spans="1:11">
      <c r="A1508" t="s">
        <v>1555</v>
      </c>
      <c r="B1508" t="s">
        <v>28</v>
      </c>
      <c r="C1508" t="s">
        <v>55</v>
      </c>
      <c r="D1508" t="s">
        <v>43</v>
      </c>
      <c r="E1508" s="1">
        <v>45013</v>
      </c>
      <c r="F1508" s="1">
        <v>45019</v>
      </c>
      <c r="G1508">
        <v>23.1</v>
      </c>
      <c r="H1508">
        <v>232.72</v>
      </c>
      <c r="I1508" t="s">
        <v>48</v>
      </c>
      <c r="J1508">
        <v>1646</v>
      </c>
      <c r="K1508">
        <v>5</v>
      </c>
    </row>
    <row r="1509" spans="1:11">
      <c r="A1509" t="s">
        <v>1556</v>
      </c>
      <c r="B1509" t="s">
        <v>50</v>
      </c>
      <c r="C1509" t="s">
        <v>55</v>
      </c>
      <c r="D1509" t="s">
        <v>33</v>
      </c>
      <c r="E1509" s="1">
        <v>45209</v>
      </c>
      <c r="F1509" s="1">
        <v>45216</v>
      </c>
      <c r="G1509">
        <v>15.5</v>
      </c>
      <c r="H1509">
        <v>303.18</v>
      </c>
      <c r="I1509" t="s">
        <v>16</v>
      </c>
      <c r="J1509">
        <v>2200</v>
      </c>
      <c r="K1509">
        <v>7</v>
      </c>
    </row>
    <row r="1510" spans="1:11">
      <c r="A1510" t="s">
        <v>1557</v>
      </c>
      <c r="B1510" t="s">
        <v>57</v>
      </c>
      <c r="C1510" t="s">
        <v>53</v>
      </c>
      <c r="D1510" t="s">
        <v>26</v>
      </c>
      <c r="E1510" s="1">
        <v>45288</v>
      </c>
      <c r="F1510" s="1">
        <v>45293</v>
      </c>
      <c r="G1510">
        <v>6.8</v>
      </c>
      <c r="H1510">
        <v>343.72</v>
      </c>
      <c r="I1510" t="s">
        <v>16</v>
      </c>
      <c r="J1510">
        <v>2246</v>
      </c>
      <c r="K1510">
        <v>5</v>
      </c>
    </row>
    <row r="1511" spans="1:11">
      <c r="A1511" t="s">
        <v>1558</v>
      </c>
      <c r="B1511" t="s">
        <v>40</v>
      </c>
      <c r="C1511" t="s">
        <v>47</v>
      </c>
      <c r="D1511" t="s">
        <v>15</v>
      </c>
      <c r="E1511" s="1">
        <v>45222</v>
      </c>
      <c r="F1511" s="1">
        <v>45223</v>
      </c>
      <c r="G1511">
        <v>40.9</v>
      </c>
      <c r="H1511">
        <v>86.69</v>
      </c>
      <c r="I1511" t="s">
        <v>16</v>
      </c>
      <c r="J1511">
        <v>295</v>
      </c>
      <c r="K1511">
        <v>1</v>
      </c>
    </row>
    <row r="1512" spans="1:11">
      <c r="A1512" t="s">
        <v>1559</v>
      </c>
      <c r="B1512" t="s">
        <v>31</v>
      </c>
      <c r="C1512" t="s">
        <v>45</v>
      </c>
      <c r="D1512" t="s">
        <v>43</v>
      </c>
      <c r="E1512" s="1">
        <v>45027</v>
      </c>
      <c r="F1512" s="1">
        <v>45034</v>
      </c>
      <c r="G1512">
        <v>13.9</v>
      </c>
      <c r="H1512">
        <v>302.88</v>
      </c>
      <c r="I1512" t="s">
        <v>63</v>
      </c>
      <c r="J1512">
        <v>2212</v>
      </c>
      <c r="K1512">
        <v>7</v>
      </c>
    </row>
    <row r="1513" spans="1:11">
      <c r="A1513" t="s">
        <v>1560</v>
      </c>
      <c r="B1513" t="s">
        <v>21</v>
      </c>
      <c r="C1513" t="s">
        <v>32</v>
      </c>
      <c r="D1513" t="s">
        <v>15</v>
      </c>
      <c r="E1513" s="1">
        <v>45074</v>
      </c>
      <c r="F1513" s="1">
        <v>45076</v>
      </c>
      <c r="G1513">
        <v>29.3</v>
      </c>
      <c r="H1513">
        <v>95.51</v>
      </c>
      <c r="I1513" t="s">
        <v>16</v>
      </c>
      <c r="J1513">
        <v>458</v>
      </c>
      <c r="K1513">
        <v>2</v>
      </c>
    </row>
    <row r="1514" spans="1:11">
      <c r="A1514" t="s">
        <v>1561</v>
      </c>
      <c r="B1514" t="s">
        <v>31</v>
      </c>
      <c r="C1514" t="s">
        <v>41</v>
      </c>
      <c r="D1514" t="s">
        <v>43</v>
      </c>
      <c r="E1514" s="1">
        <v>45157</v>
      </c>
      <c r="F1514" s="1">
        <v>45167</v>
      </c>
      <c r="G1514">
        <v>23.9</v>
      </c>
      <c r="H1514">
        <v>321.25</v>
      </c>
      <c r="I1514" t="s">
        <v>48</v>
      </c>
      <c r="J1514">
        <v>2386</v>
      </c>
      <c r="K1514">
        <v>5</v>
      </c>
    </row>
    <row r="1515" spans="1:11">
      <c r="A1515" t="s">
        <v>1562</v>
      </c>
      <c r="B1515" t="s">
        <v>24</v>
      </c>
      <c r="C1515" t="s">
        <v>55</v>
      </c>
      <c r="D1515" t="s">
        <v>38</v>
      </c>
      <c r="E1515" s="1">
        <v>44976</v>
      </c>
      <c r="F1515" s="1">
        <v>44980</v>
      </c>
      <c r="G1515">
        <v>48.5</v>
      </c>
      <c r="H1515">
        <v>220.96</v>
      </c>
      <c r="I1515" t="s">
        <v>16</v>
      </c>
      <c r="J1515">
        <v>1396</v>
      </c>
      <c r="K1515">
        <v>4</v>
      </c>
    </row>
    <row r="1516" spans="1:11">
      <c r="A1516" t="s">
        <v>1563</v>
      </c>
      <c r="B1516" t="s">
        <v>36</v>
      </c>
      <c r="C1516" t="s">
        <v>53</v>
      </c>
      <c r="D1516" t="s">
        <v>26</v>
      </c>
      <c r="E1516" s="1">
        <v>45275</v>
      </c>
      <c r="F1516" s="1">
        <v>45280</v>
      </c>
      <c r="G1516">
        <v>39.700000000000003</v>
      </c>
      <c r="H1516">
        <v>186.77</v>
      </c>
      <c r="I1516" t="s">
        <v>16</v>
      </c>
      <c r="J1516">
        <v>890</v>
      </c>
      <c r="K1516">
        <v>5</v>
      </c>
    </row>
    <row r="1517" spans="1:11">
      <c r="A1517" t="s">
        <v>1564</v>
      </c>
      <c r="B1517" t="s">
        <v>40</v>
      </c>
      <c r="C1517" t="s">
        <v>32</v>
      </c>
      <c r="D1517" t="s">
        <v>38</v>
      </c>
      <c r="E1517" s="1">
        <v>45044</v>
      </c>
      <c r="F1517" s="1">
        <v>45050</v>
      </c>
      <c r="G1517">
        <v>27.7</v>
      </c>
      <c r="H1517">
        <v>131.18</v>
      </c>
      <c r="I1517" t="s">
        <v>48</v>
      </c>
      <c r="J1517">
        <v>916</v>
      </c>
      <c r="K1517">
        <v>3</v>
      </c>
    </row>
    <row r="1518" spans="1:11">
      <c r="A1518" t="s">
        <v>1565</v>
      </c>
      <c r="B1518" t="s">
        <v>28</v>
      </c>
      <c r="C1518" t="s">
        <v>45</v>
      </c>
      <c r="D1518" t="s">
        <v>43</v>
      </c>
      <c r="E1518" s="1">
        <v>45132</v>
      </c>
      <c r="F1518" s="1">
        <v>45134</v>
      </c>
      <c r="G1518">
        <v>18.8</v>
      </c>
      <c r="H1518">
        <v>80.05</v>
      </c>
      <c r="I1518" t="s">
        <v>16</v>
      </c>
      <c r="J1518">
        <v>496</v>
      </c>
      <c r="K1518">
        <v>2</v>
      </c>
    </row>
    <row r="1519" spans="1:11">
      <c r="A1519" t="s">
        <v>1566</v>
      </c>
      <c r="B1519" t="s">
        <v>52</v>
      </c>
      <c r="C1519" t="s">
        <v>14</v>
      </c>
      <c r="D1519" t="s">
        <v>60</v>
      </c>
      <c r="E1519" s="1">
        <v>45187</v>
      </c>
      <c r="F1519" s="1">
        <v>45196</v>
      </c>
      <c r="G1519">
        <v>9.6999999999999993</v>
      </c>
      <c r="H1519">
        <v>284.70999999999998</v>
      </c>
      <c r="I1519" t="s">
        <v>16</v>
      </c>
      <c r="J1519">
        <v>2488</v>
      </c>
      <c r="K1519">
        <v>9</v>
      </c>
    </row>
    <row r="1520" spans="1:11">
      <c r="A1520" t="s">
        <v>1567</v>
      </c>
      <c r="B1520" t="s">
        <v>24</v>
      </c>
      <c r="C1520" t="s">
        <v>29</v>
      </c>
      <c r="D1520" t="s">
        <v>19</v>
      </c>
      <c r="E1520" s="1">
        <v>45093</v>
      </c>
      <c r="F1520" s="1">
        <v>45097</v>
      </c>
      <c r="G1520">
        <v>34.9</v>
      </c>
      <c r="H1520">
        <v>261.45</v>
      </c>
      <c r="I1520" t="s">
        <v>16</v>
      </c>
      <c r="J1520">
        <v>1507</v>
      </c>
      <c r="K1520">
        <v>4</v>
      </c>
    </row>
    <row r="1521" spans="1:11">
      <c r="A1521" t="s">
        <v>1568</v>
      </c>
      <c r="B1521" t="s">
        <v>57</v>
      </c>
      <c r="C1521" t="s">
        <v>37</v>
      </c>
      <c r="D1521" t="s">
        <v>43</v>
      </c>
      <c r="E1521" s="1">
        <v>45285</v>
      </c>
      <c r="F1521" s="1">
        <v>45286</v>
      </c>
      <c r="G1521">
        <v>22.3</v>
      </c>
      <c r="I1521" t="s">
        <v>16</v>
      </c>
      <c r="J1521">
        <v>148</v>
      </c>
      <c r="K1521">
        <v>1</v>
      </c>
    </row>
    <row r="1522" spans="1:11">
      <c r="A1522" t="s">
        <v>1569</v>
      </c>
      <c r="B1522" t="s">
        <v>40</v>
      </c>
      <c r="C1522" t="s">
        <v>29</v>
      </c>
      <c r="D1522" t="s">
        <v>38</v>
      </c>
      <c r="E1522" s="1">
        <v>45077</v>
      </c>
      <c r="F1522" s="1">
        <v>45079</v>
      </c>
      <c r="G1522">
        <v>28.2</v>
      </c>
      <c r="H1522">
        <v>103.67</v>
      </c>
      <c r="I1522" t="s">
        <v>16</v>
      </c>
      <c r="J1522">
        <v>599</v>
      </c>
      <c r="K1522">
        <v>2</v>
      </c>
    </row>
    <row r="1523" spans="1:11">
      <c r="A1523" t="s">
        <v>1570</v>
      </c>
      <c r="B1523" t="s">
        <v>57</v>
      </c>
      <c r="C1523" t="s">
        <v>82</v>
      </c>
      <c r="D1523" t="s">
        <v>19</v>
      </c>
      <c r="E1523" s="1">
        <v>45147</v>
      </c>
      <c r="F1523" s="1">
        <v>45148</v>
      </c>
      <c r="G1523">
        <v>11.4</v>
      </c>
      <c r="H1523">
        <v>44.4</v>
      </c>
      <c r="I1523" t="s">
        <v>16</v>
      </c>
      <c r="J1523">
        <v>234</v>
      </c>
      <c r="K1523">
        <v>1</v>
      </c>
    </row>
    <row r="1524" spans="1:11">
      <c r="A1524" t="s">
        <v>1571</v>
      </c>
      <c r="B1524" t="s">
        <v>28</v>
      </c>
      <c r="C1524" t="s">
        <v>14</v>
      </c>
      <c r="D1524" t="s">
        <v>19</v>
      </c>
      <c r="E1524" s="1">
        <v>45077</v>
      </c>
      <c r="F1524" s="1">
        <v>45085</v>
      </c>
      <c r="G1524">
        <v>10.8</v>
      </c>
      <c r="H1524">
        <v>271.64</v>
      </c>
      <c r="I1524" t="s">
        <v>16</v>
      </c>
      <c r="J1524">
        <v>1974</v>
      </c>
      <c r="K1524">
        <v>8</v>
      </c>
    </row>
    <row r="1525" spans="1:11">
      <c r="A1525" t="s">
        <v>1572</v>
      </c>
      <c r="B1525" t="s">
        <v>36</v>
      </c>
      <c r="C1525" t="s">
        <v>14</v>
      </c>
      <c r="D1525" t="s">
        <v>38</v>
      </c>
      <c r="E1525" s="1">
        <v>45163</v>
      </c>
      <c r="F1525" s="1">
        <v>45169</v>
      </c>
      <c r="G1525">
        <v>12.2</v>
      </c>
      <c r="H1525">
        <v>259.25</v>
      </c>
      <c r="I1525" t="s">
        <v>16</v>
      </c>
      <c r="J1525">
        <v>2271</v>
      </c>
      <c r="K1525">
        <v>6</v>
      </c>
    </row>
    <row r="1526" spans="1:11">
      <c r="A1526" t="s">
        <v>1573</v>
      </c>
      <c r="B1526" t="s">
        <v>28</v>
      </c>
      <c r="C1526" t="s">
        <v>55</v>
      </c>
      <c r="D1526" t="s">
        <v>33</v>
      </c>
      <c r="E1526" s="1">
        <v>45167</v>
      </c>
      <c r="F1526" s="1">
        <v>45171</v>
      </c>
      <c r="G1526">
        <v>22.8</v>
      </c>
      <c r="H1526">
        <v>221.62</v>
      </c>
      <c r="I1526" t="s">
        <v>68</v>
      </c>
      <c r="J1526">
        <v>1599</v>
      </c>
      <c r="K1526">
        <v>4</v>
      </c>
    </row>
    <row r="1527" spans="1:11">
      <c r="A1527" t="s">
        <v>1574</v>
      </c>
      <c r="B1527" t="s">
        <v>36</v>
      </c>
      <c r="C1527" t="s">
        <v>58</v>
      </c>
      <c r="D1527" t="s">
        <v>19</v>
      </c>
      <c r="E1527" s="1">
        <v>45094</v>
      </c>
      <c r="F1527" s="1">
        <v>45099</v>
      </c>
      <c r="G1527">
        <v>15.1</v>
      </c>
      <c r="H1527">
        <v>142.08000000000001</v>
      </c>
      <c r="I1527" t="s">
        <v>16</v>
      </c>
      <c r="J1527">
        <v>977</v>
      </c>
      <c r="K1527">
        <v>5</v>
      </c>
    </row>
    <row r="1528" spans="1:11">
      <c r="A1528" t="s">
        <v>1575</v>
      </c>
      <c r="B1528" t="s">
        <v>52</v>
      </c>
      <c r="C1528" t="s">
        <v>82</v>
      </c>
      <c r="D1528" t="s">
        <v>38</v>
      </c>
      <c r="E1528" s="1">
        <v>45202</v>
      </c>
      <c r="F1528" s="1">
        <v>45205</v>
      </c>
      <c r="G1528">
        <v>11.3</v>
      </c>
      <c r="H1528">
        <v>154.44999999999999</v>
      </c>
      <c r="I1528" t="s">
        <v>16</v>
      </c>
      <c r="J1528">
        <v>1311</v>
      </c>
      <c r="K1528">
        <v>3</v>
      </c>
    </row>
    <row r="1529" spans="1:11">
      <c r="A1529" t="s">
        <v>1576</v>
      </c>
      <c r="B1529" t="s">
        <v>36</v>
      </c>
      <c r="C1529" t="s">
        <v>71</v>
      </c>
      <c r="D1529" t="s">
        <v>38</v>
      </c>
      <c r="E1529" s="1">
        <v>45062</v>
      </c>
      <c r="F1529" s="1">
        <v>45064</v>
      </c>
      <c r="G1529">
        <v>64.7</v>
      </c>
      <c r="H1529">
        <v>105.03</v>
      </c>
      <c r="I1529" t="s">
        <v>16</v>
      </c>
      <c r="J1529">
        <v>268</v>
      </c>
      <c r="K1529">
        <v>2</v>
      </c>
    </row>
    <row r="1530" spans="1:11">
      <c r="A1530" t="s">
        <v>1577</v>
      </c>
      <c r="B1530" t="s">
        <v>57</v>
      </c>
      <c r="C1530" t="s">
        <v>14</v>
      </c>
      <c r="D1530" t="s">
        <v>60</v>
      </c>
      <c r="E1530" s="1">
        <v>45194</v>
      </c>
      <c r="F1530" s="1">
        <v>45198</v>
      </c>
      <c r="G1530">
        <v>64.8</v>
      </c>
      <c r="H1530">
        <v>258.52</v>
      </c>
      <c r="I1530" t="s">
        <v>16</v>
      </c>
      <c r="J1530">
        <v>1466</v>
      </c>
      <c r="K1530">
        <v>4</v>
      </c>
    </row>
    <row r="1531" spans="1:11">
      <c r="A1531" t="s">
        <v>1578</v>
      </c>
      <c r="B1531" t="s">
        <v>31</v>
      </c>
      <c r="C1531" t="s">
        <v>45</v>
      </c>
      <c r="D1531" t="s">
        <v>19</v>
      </c>
      <c r="E1531" s="1">
        <v>44988</v>
      </c>
      <c r="F1531" s="1">
        <v>44997</v>
      </c>
      <c r="G1531">
        <v>21.2</v>
      </c>
      <c r="H1531">
        <v>312.87</v>
      </c>
      <c r="I1531" t="s">
        <v>16</v>
      </c>
      <c r="J1531">
        <v>2181</v>
      </c>
      <c r="K1531">
        <v>9</v>
      </c>
    </row>
    <row r="1532" spans="1:11">
      <c r="A1532" t="s">
        <v>1579</v>
      </c>
      <c r="B1532" t="s">
        <v>40</v>
      </c>
      <c r="C1532" t="s">
        <v>22</v>
      </c>
      <c r="D1532" t="s">
        <v>26</v>
      </c>
      <c r="E1532" s="1">
        <v>44932</v>
      </c>
      <c r="F1532" s="1">
        <v>44934</v>
      </c>
      <c r="G1532">
        <v>13.4</v>
      </c>
      <c r="H1532">
        <v>62.54</v>
      </c>
      <c r="I1532" t="s">
        <v>16</v>
      </c>
      <c r="J1532">
        <v>379</v>
      </c>
      <c r="K1532">
        <v>2</v>
      </c>
    </row>
    <row r="1533" spans="1:11">
      <c r="A1533" t="s">
        <v>1580</v>
      </c>
      <c r="B1533" t="s">
        <v>40</v>
      </c>
      <c r="C1533" t="s">
        <v>37</v>
      </c>
      <c r="D1533" t="s">
        <v>60</v>
      </c>
      <c r="E1533" s="1">
        <v>45230</v>
      </c>
      <c r="F1533" s="1">
        <v>45233</v>
      </c>
      <c r="G1533">
        <v>9.1999999999999993</v>
      </c>
      <c r="H1533">
        <v>22.1</v>
      </c>
      <c r="I1533" t="s">
        <v>16</v>
      </c>
      <c r="J1533">
        <v>123</v>
      </c>
      <c r="K1533">
        <v>3</v>
      </c>
    </row>
    <row r="1534" spans="1:11">
      <c r="A1534" t="s">
        <v>1581</v>
      </c>
      <c r="B1534" t="s">
        <v>28</v>
      </c>
      <c r="C1534" t="s">
        <v>22</v>
      </c>
      <c r="D1534" t="s">
        <v>43</v>
      </c>
      <c r="E1534" s="1">
        <v>45089</v>
      </c>
      <c r="F1534" s="1">
        <v>45092</v>
      </c>
      <c r="G1534">
        <v>35.4</v>
      </c>
      <c r="I1534" t="s">
        <v>16</v>
      </c>
      <c r="J1534">
        <v>1203</v>
      </c>
      <c r="K1534">
        <v>3</v>
      </c>
    </row>
    <row r="1535" spans="1:11">
      <c r="A1535" t="s">
        <v>1582</v>
      </c>
      <c r="B1535" t="s">
        <v>31</v>
      </c>
      <c r="C1535" t="s">
        <v>53</v>
      </c>
      <c r="D1535" t="s">
        <v>60</v>
      </c>
      <c r="E1535" s="1">
        <v>45080</v>
      </c>
      <c r="F1535" s="1">
        <v>45083</v>
      </c>
      <c r="G1535">
        <v>41.9</v>
      </c>
      <c r="H1535">
        <v>108.73</v>
      </c>
      <c r="I1535" t="s">
        <v>16</v>
      </c>
      <c r="J1535">
        <v>501</v>
      </c>
      <c r="K1535">
        <v>3</v>
      </c>
    </row>
    <row r="1536" spans="1:11">
      <c r="A1536" t="s">
        <v>1583</v>
      </c>
      <c r="B1536" t="s">
        <v>28</v>
      </c>
      <c r="C1536" t="s">
        <v>58</v>
      </c>
      <c r="D1536" t="s">
        <v>38</v>
      </c>
      <c r="E1536" s="1">
        <v>45288</v>
      </c>
      <c r="F1536" s="1">
        <v>45292</v>
      </c>
      <c r="G1536">
        <v>10.3</v>
      </c>
      <c r="H1536">
        <v>164.78</v>
      </c>
      <c r="I1536" t="s">
        <v>61</v>
      </c>
      <c r="J1536">
        <v>1034</v>
      </c>
      <c r="K1536">
        <v>4</v>
      </c>
    </row>
    <row r="1537" spans="1:11">
      <c r="A1537" t="s">
        <v>1584</v>
      </c>
      <c r="B1537" t="s">
        <v>13</v>
      </c>
      <c r="C1537" t="s">
        <v>82</v>
      </c>
      <c r="D1537" t="s">
        <v>33</v>
      </c>
      <c r="E1537" s="1">
        <v>45233</v>
      </c>
      <c r="F1537" s="1">
        <v>45234</v>
      </c>
      <c r="G1537">
        <v>6</v>
      </c>
      <c r="H1537">
        <v>50.96</v>
      </c>
      <c r="I1537" t="s">
        <v>63</v>
      </c>
      <c r="J1537">
        <v>283</v>
      </c>
      <c r="K1537">
        <v>1</v>
      </c>
    </row>
    <row r="1538" spans="1:11">
      <c r="A1538" t="s">
        <v>1585</v>
      </c>
      <c r="B1538" t="s">
        <v>28</v>
      </c>
      <c r="C1538" t="s">
        <v>14</v>
      </c>
      <c r="D1538" t="s">
        <v>19</v>
      </c>
      <c r="E1538" s="1">
        <v>45284</v>
      </c>
      <c r="F1538" s="1">
        <v>45299</v>
      </c>
      <c r="G1538">
        <v>14.8</v>
      </c>
      <c r="H1538">
        <v>137.77000000000001</v>
      </c>
      <c r="I1538" t="s">
        <v>48</v>
      </c>
      <c r="J1538">
        <v>655</v>
      </c>
      <c r="K1538">
        <v>4</v>
      </c>
    </row>
    <row r="1539" spans="1:11">
      <c r="A1539" t="s">
        <v>1586</v>
      </c>
      <c r="B1539" t="s">
        <v>50</v>
      </c>
      <c r="C1539" t="s">
        <v>58</v>
      </c>
      <c r="D1539" t="s">
        <v>26</v>
      </c>
      <c r="E1539" s="1">
        <v>45199</v>
      </c>
      <c r="F1539" s="1">
        <v>45201</v>
      </c>
      <c r="G1539">
        <v>17.899999999999999</v>
      </c>
      <c r="H1539">
        <v>87.69</v>
      </c>
      <c r="I1539" t="s">
        <v>16</v>
      </c>
      <c r="J1539">
        <v>552</v>
      </c>
      <c r="K1539">
        <v>2</v>
      </c>
    </row>
    <row r="1540" spans="1:11">
      <c r="A1540" t="s">
        <v>1587</v>
      </c>
      <c r="B1540" t="s">
        <v>36</v>
      </c>
      <c r="C1540" t="s">
        <v>55</v>
      </c>
      <c r="D1540" t="s">
        <v>33</v>
      </c>
      <c r="E1540" s="1">
        <v>45059</v>
      </c>
      <c r="F1540" s="1">
        <v>45063</v>
      </c>
      <c r="G1540">
        <v>179.1</v>
      </c>
      <c r="H1540">
        <v>216.48</v>
      </c>
      <c r="I1540" t="s">
        <v>16</v>
      </c>
      <c r="J1540">
        <v>1350</v>
      </c>
      <c r="K1540">
        <v>4</v>
      </c>
    </row>
    <row r="1541" spans="1:11">
      <c r="A1541" t="s">
        <v>1588</v>
      </c>
      <c r="B1541" t="s">
        <v>21</v>
      </c>
      <c r="C1541" t="s">
        <v>58</v>
      </c>
      <c r="D1541" t="s">
        <v>33</v>
      </c>
      <c r="E1541" s="1">
        <v>45253</v>
      </c>
      <c r="F1541" s="1">
        <v>45259</v>
      </c>
      <c r="G1541">
        <v>36.299999999999997</v>
      </c>
      <c r="H1541">
        <v>439.48</v>
      </c>
      <c r="I1541" t="s">
        <v>16</v>
      </c>
      <c r="J1541">
        <v>2181</v>
      </c>
      <c r="K1541">
        <v>6</v>
      </c>
    </row>
    <row r="1542" spans="1:11">
      <c r="A1542" t="s">
        <v>1589</v>
      </c>
      <c r="B1542" t="s">
        <v>31</v>
      </c>
      <c r="C1542" t="s">
        <v>58</v>
      </c>
      <c r="D1542" t="s">
        <v>19</v>
      </c>
      <c r="E1542" s="1">
        <v>45081</v>
      </c>
      <c r="F1542" s="1">
        <v>45087</v>
      </c>
      <c r="G1542">
        <v>5.8</v>
      </c>
      <c r="H1542">
        <v>338.34</v>
      </c>
      <c r="I1542" t="s">
        <v>16</v>
      </c>
      <c r="J1542">
        <v>2466</v>
      </c>
      <c r="K1542">
        <v>6</v>
      </c>
    </row>
    <row r="1543" spans="1:11">
      <c r="A1543" t="s">
        <v>1590</v>
      </c>
      <c r="B1543" t="s">
        <v>28</v>
      </c>
      <c r="C1543" t="s">
        <v>53</v>
      </c>
      <c r="D1543" t="s">
        <v>26</v>
      </c>
      <c r="E1543" s="1">
        <v>45053</v>
      </c>
      <c r="F1543" s="1">
        <v>45058</v>
      </c>
      <c r="G1543">
        <v>5.6</v>
      </c>
      <c r="H1543">
        <v>78.42</v>
      </c>
      <c r="I1543" t="s">
        <v>16</v>
      </c>
      <c r="J1543">
        <v>636</v>
      </c>
      <c r="K1543">
        <v>5</v>
      </c>
    </row>
    <row r="1544" spans="1:11">
      <c r="A1544" t="s">
        <v>1591</v>
      </c>
      <c r="B1544" t="s">
        <v>36</v>
      </c>
      <c r="C1544" t="s">
        <v>41</v>
      </c>
      <c r="D1544" t="s">
        <v>60</v>
      </c>
      <c r="E1544" s="1">
        <v>45262</v>
      </c>
      <c r="F1544" s="1">
        <v>45264</v>
      </c>
      <c r="G1544">
        <v>14.1</v>
      </c>
      <c r="H1544">
        <v>58.04</v>
      </c>
      <c r="I1544" t="s">
        <v>16</v>
      </c>
      <c r="J1544">
        <v>283</v>
      </c>
      <c r="K1544">
        <v>2</v>
      </c>
    </row>
    <row r="1545" spans="1:11">
      <c r="A1545" t="s">
        <v>1592</v>
      </c>
      <c r="B1545" t="s">
        <v>28</v>
      </c>
      <c r="C1545" t="s">
        <v>55</v>
      </c>
      <c r="D1545" t="s">
        <v>38</v>
      </c>
      <c r="E1545" s="1">
        <v>45044</v>
      </c>
      <c r="F1545" s="1">
        <v>45046</v>
      </c>
      <c r="G1545">
        <v>12</v>
      </c>
      <c r="H1545">
        <v>43.35</v>
      </c>
      <c r="I1545" t="s">
        <v>16</v>
      </c>
      <c r="J1545">
        <v>208</v>
      </c>
      <c r="K1545">
        <v>2</v>
      </c>
    </row>
    <row r="1546" spans="1:11">
      <c r="A1546" t="s">
        <v>1593</v>
      </c>
      <c r="B1546" t="s">
        <v>21</v>
      </c>
      <c r="C1546" t="s">
        <v>25</v>
      </c>
      <c r="D1546" t="s">
        <v>43</v>
      </c>
      <c r="E1546" s="1">
        <v>45253</v>
      </c>
      <c r="F1546" s="1">
        <v>45256</v>
      </c>
      <c r="G1546">
        <v>51</v>
      </c>
      <c r="I1546" t="s">
        <v>16</v>
      </c>
      <c r="J1546">
        <v>1135</v>
      </c>
      <c r="K1546">
        <v>3</v>
      </c>
    </row>
    <row r="1547" spans="1:11">
      <c r="A1547" t="s">
        <v>1594</v>
      </c>
      <c r="B1547" t="s">
        <v>50</v>
      </c>
      <c r="C1547" t="s">
        <v>18</v>
      </c>
      <c r="D1547" t="s">
        <v>26</v>
      </c>
      <c r="E1547" s="1">
        <v>45094</v>
      </c>
      <c r="F1547" s="1">
        <v>45097</v>
      </c>
      <c r="G1547">
        <v>25.2</v>
      </c>
      <c r="H1547">
        <v>190.12</v>
      </c>
      <c r="I1547" t="s">
        <v>16</v>
      </c>
      <c r="J1547">
        <v>1442</v>
      </c>
      <c r="K1547">
        <v>3</v>
      </c>
    </row>
    <row r="1548" spans="1:11">
      <c r="A1548" t="s">
        <v>1595</v>
      </c>
      <c r="B1548" t="s">
        <v>21</v>
      </c>
      <c r="C1548" t="s">
        <v>32</v>
      </c>
      <c r="D1548" t="s">
        <v>43</v>
      </c>
      <c r="E1548" s="1">
        <v>45052</v>
      </c>
      <c r="F1548" s="1">
        <v>45055</v>
      </c>
      <c r="G1548">
        <v>24.1</v>
      </c>
      <c r="H1548">
        <v>70.430000000000007</v>
      </c>
      <c r="I1548" t="s">
        <v>16</v>
      </c>
      <c r="J1548">
        <v>295</v>
      </c>
      <c r="K1548">
        <v>3</v>
      </c>
    </row>
    <row r="1549" spans="1:11">
      <c r="A1549" t="s">
        <v>1596</v>
      </c>
      <c r="B1549" t="s">
        <v>24</v>
      </c>
      <c r="C1549" t="s">
        <v>82</v>
      </c>
      <c r="D1549" t="s">
        <v>26</v>
      </c>
      <c r="E1549" s="1">
        <v>45228</v>
      </c>
      <c r="F1549" s="1">
        <v>45236</v>
      </c>
      <c r="G1549">
        <v>17.5</v>
      </c>
      <c r="H1549">
        <v>240.07</v>
      </c>
      <c r="I1549" t="s">
        <v>16</v>
      </c>
      <c r="J1549">
        <v>1720</v>
      </c>
      <c r="K1549">
        <v>8</v>
      </c>
    </row>
    <row r="1550" spans="1:11">
      <c r="A1550" t="s">
        <v>1597</v>
      </c>
      <c r="B1550" t="s">
        <v>40</v>
      </c>
      <c r="C1550" t="s">
        <v>47</v>
      </c>
      <c r="D1550" t="s">
        <v>26</v>
      </c>
      <c r="E1550" s="1">
        <v>45092</v>
      </c>
      <c r="F1550" s="1">
        <v>45095</v>
      </c>
      <c r="G1550">
        <v>46.3</v>
      </c>
      <c r="H1550">
        <v>155.66</v>
      </c>
      <c r="I1550" t="s">
        <v>16</v>
      </c>
      <c r="J1550">
        <v>912</v>
      </c>
      <c r="K1550">
        <v>3</v>
      </c>
    </row>
    <row r="1551" spans="1:11">
      <c r="A1551" t="s">
        <v>1598</v>
      </c>
      <c r="B1551" t="s">
        <v>24</v>
      </c>
      <c r="C1551" t="s">
        <v>55</v>
      </c>
      <c r="D1551" t="s">
        <v>43</v>
      </c>
      <c r="E1551" s="1">
        <v>45093</v>
      </c>
      <c r="F1551" s="1">
        <v>45100</v>
      </c>
      <c r="G1551">
        <v>25.6</v>
      </c>
      <c r="H1551">
        <v>287.97000000000003</v>
      </c>
      <c r="I1551" t="s">
        <v>61</v>
      </c>
      <c r="J1551">
        <v>2129</v>
      </c>
      <c r="K1551">
        <v>7</v>
      </c>
    </row>
    <row r="1552" spans="1:11">
      <c r="A1552" t="s">
        <v>1599</v>
      </c>
      <c r="B1552" t="s">
        <v>31</v>
      </c>
      <c r="C1552" t="s">
        <v>55</v>
      </c>
      <c r="D1552" t="s">
        <v>26</v>
      </c>
      <c r="E1552" s="1">
        <v>45014</v>
      </c>
      <c r="F1552" s="1">
        <v>45015</v>
      </c>
      <c r="G1552">
        <v>41.5</v>
      </c>
      <c r="H1552">
        <v>85.01</v>
      </c>
      <c r="I1552" t="s">
        <v>16</v>
      </c>
      <c r="J1552">
        <v>305</v>
      </c>
      <c r="K1552">
        <v>1</v>
      </c>
    </row>
    <row r="1553" spans="1:11">
      <c r="A1553" t="s">
        <v>1600</v>
      </c>
      <c r="B1553" t="s">
        <v>13</v>
      </c>
      <c r="C1553" t="s">
        <v>25</v>
      </c>
      <c r="D1553" t="s">
        <v>19</v>
      </c>
      <c r="E1553" s="1">
        <v>45194</v>
      </c>
      <c r="G1553">
        <v>17.399999999999999</v>
      </c>
      <c r="H1553">
        <v>305.83</v>
      </c>
      <c r="I1553" t="s">
        <v>16</v>
      </c>
      <c r="J1553">
        <v>1894</v>
      </c>
      <c r="K1553">
        <v>6</v>
      </c>
    </row>
    <row r="1554" spans="1:11">
      <c r="A1554" t="s">
        <v>1601</v>
      </c>
      <c r="B1554" t="s">
        <v>50</v>
      </c>
      <c r="C1554" t="s">
        <v>47</v>
      </c>
      <c r="D1554" t="s">
        <v>26</v>
      </c>
      <c r="E1554" s="1">
        <v>44929</v>
      </c>
      <c r="G1554">
        <v>184.3</v>
      </c>
      <c r="H1554">
        <v>497.31</v>
      </c>
      <c r="I1554" t="s">
        <v>48</v>
      </c>
      <c r="J1554">
        <v>1941</v>
      </c>
      <c r="K1554">
        <v>7</v>
      </c>
    </row>
    <row r="1555" spans="1:11">
      <c r="A1555" t="s">
        <v>1602</v>
      </c>
      <c r="B1555" t="s">
        <v>24</v>
      </c>
      <c r="C1555" t="s">
        <v>18</v>
      </c>
      <c r="D1555" t="s">
        <v>43</v>
      </c>
      <c r="E1555" s="1">
        <v>45162</v>
      </c>
      <c r="F1555" s="1">
        <v>45168</v>
      </c>
      <c r="G1555">
        <v>50.5</v>
      </c>
      <c r="H1555">
        <v>323.77</v>
      </c>
      <c r="I1555" t="s">
        <v>16</v>
      </c>
      <c r="J1555">
        <v>2250</v>
      </c>
      <c r="K1555">
        <v>6</v>
      </c>
    </row>
    <row r="1556" spans="1:11">
      <c r="A1556" t="s">
        <v>1603</v>
      </c>
      <c r="B1556" t="s">
        <v>13</v>
      </c>
      <c r="C1556" t="s">
        <v>41</v>
      </c>
      <c r="D1556" t="s">
        <v>43</v>
      </c>
      <c r="E1556" s="1">
        <v>45185</v>
      </c>
      <c r="F1556" s="1">
        <v>45192</v>
      </c>
      <c r="G1556">
        <v>9</v>
      </c>
      <c r="H1556">
        <v>261.35000000000002</v>
      </c>
      <c r="I1556" t="s">
        <v>16</v>
      </c>
      <c r="J1556">
        <v>2105</v>
      </c>
      <c r="K1556">
        <v>7</v>
      </c>
    </row>
    <row r="1557" spans="1:11">
      <c r="A1557" t="s">
        <v>1604</v>
      </c>
      <c r="B1557" t="s">
        <v>28</v>
      </c>
      <c r="C1557" t="s">
        <v>22</v>
      </c>
      <c r="D1557" t="s">
        <v>19</v>
      </c>
      <c r="E1557" s="1">
        <v>45280</v>
      </c>
      <c r="F1557" s="1">
        <v>45287</v>
      </c>
      <c r="G1557">
        <v>10.5</v>
      </c>
      <c r="H1557">
        <v>81.73</v>
      </c>
      <c r="I1557" t="s">
        <v>48</v>
      </c>
      <c r="J1557">
        <v>397</v>
      </c>
      <c r="K1557">
        <v>2</v>
      </c>
    </row>
    <row r="1558" spans="1:11">
      <c r="A1558" t="s">
        <v>1605</v>
      </c>
      <c r="B1558" t="s">
        <v>57</v>
      </c>
      <c r="C1558" t="s">
        <v>55</v>
      </c>
      <c r="D1558" t="s">
        <v>38</v>
      </c>
      <c r="E1558" s="1">
        <v>44936</v>
      </c>
      <c r="F1558" s="1">
        <v>44940</v>
      </c>
      <c r="G1558">
        <v>6.7</v>
      </c>
      <c r="H1558">
        <v>54.04</v>
      </c>
      <c r="I1558" t="s">
        <v>16</v>
      </c>
      <c r="J1558">
        <v>392</v>
      </c>
      <c r="K1558">
        <v>4</v>
      </c>
    </row>
    <row r="1559" spans="1:11">
      <c r="A1559" t="s">
        <v>1606</v>
      </c>
      <c r="B1559" t="s">
        <v>28</v>
      </c>
      <c r="C1559" t="s">
        <v>22</v>
      </c>
      <c r="D1559" t="s">
        <v>26</v>
      </c>
      <c r="E1559" s="1">
        <v>45118</v>
      </c>
      <c r="F1559" s="1">
        <v>45132</v>
      </c>
      <c r="G1559">
        <v>9</v>
      </c>
      <c r="H1559">
        <v>126.74</v>
      </c>
      <c r="I1559" t="s">
        <v>48</v>
      </c>
      <c r="J1559">
        <v>979</v>
      </c>
      <c r="K1559">
        <v>4</v>
      </c>
    </row>
    <row r="1560" spans="1:11">
      <c r="A1560" t="s">
        <v>1607</v>
      </c>
      <c r="B1560" t="s">
        <v>36</v>
      </c>
      <c r="C1560" t="s">
        <v>37</v>
      </c>
      <c r="D1560" t="s">
        <v>60</v>
      </c>
      <c r="E1560" s="1">
        <v>44999</v>
      </c>
      <c r="F1560" s="1">
        <v>45007</v>
      </c>
      <c r="G1560">
        <v>15.1</v>
      </c>
      <c r="H1560">
        <v>193.28</v>
      </c>
      <c r="I1560" t="s">
        <v>48</v>
      </c>
      <c r="J1560">
        <v>1427</v>
      </c>
      <c r="K1560">
        <v>4</v>
      </c>
    </row>
    <row r="1561" spans="1:11">
      <c r="A1561" t="s">
        <v>1608</v>
      </c>
      <c r="B1561" t="s">
        <v>28</v>
      </c>
      <c r="C1561" t="s">
        <v>29</v>
      </c>
      <c r="D1561" t="s">
        <v>26</v>
      </c>
      <c r="E1561" s="1">
        <v>44952</v>
      </c>
      <c r="F1561" s="1">
        <v>44957</v>
      </c>
      <c r="G1561">
        <v>20.7</v>
      </c>
      <c r="H1561">
        <v>254.82</v>
      </c>
      <c r="I1561" t="s">
        <v>16</v>
      </c>
      <c r="J1561">
        <v>1956</v>
      </c>
      <c r="K1561">
        <v>5</v>
      </c>
    </row>
    <row r="1562" spans="1:11">
      <c r="A1562" t="s">
        <v>1609</v>
      </c>
      <c r="B1562" t="s">
        <v>52</v>
      </c>
      <c r="C1562" t="s">
        <v>22</v>
      </c>
      <c r="D1562" t="s">
        <v>60</v>
      </c>
      <c r="E1562" s="1">
        <v>45254</v>
      </c>
      <c r="F1562" s="1">
        <v>45259</v>
      </c>
      <c r="G1562">
        <v>18.100000000000001</v>
      </c>
      <c r="H1562">
        <v>132.04</v>
      </c>
      <c r="I1562" t="s">
        <v>16</v>
      </c>
      <c r="J1562">
        <v>863</v>
      </c>
      <c r="K1562">
        <v>5</v>
      </c>
    </row>
    <row r="1563" spans="1:11">
      <c r="A1563" t="s">
        <v>1610</v>
      </c>
      <c r="B1563" t="s">
        <v>50</v>
      </c>
      <c r="C1563" t="s">
        <v>32</v>
      </c>
      <c r="D1563" t="s">
        <v>60</v>
      </c>
      <c r="E1563" s="1">
        <v>45038</v>
      </c>
      <c r="F1563" s="1">
        <v>45045</v>
      </c>
      <c r="G1563">
        <v>22.1</v>
      </c>
      <c r="H1563">
        <v>305.98</v>
      </c>
      <c r="I1563" t="s">
        <v>16</v>
      </c>
      <c r="J1563">
        <v>2347</v>
      </c>
      <c r="K1563">
        <v>7</v>
      </c>
    </row>
    <row r="1564" spans="1:11">
      <c r="A1564" t="s">
        <v>1611</v>
      </c>
      <c r="B1564" t="s">
        <v>50</v>
      </c>
      <c r="C1564" t="s">
        <v>22</v>
      </c>
      <c r="D1564" t="s">
        <v>19</v>
      </c>
      <c r="E1564" s="1">
        <v>45043</v>
      </c>
      <c r="F1564" s="1">
        <v>45047</v>
      </c>
      <c r="G1564">
        <v>28.8</v>
      </c>
      <c r="H1564">
        <v>151.25</v>
      </c>
      <c r="I1564" t="s">
        <v>16</v>
      </c>
      <c r="J1564">
        <v>919</v>
      </c>
      <c r="K1564">
        <v>4</v>
      </c>
    </row>
    <row r="1565" spans="1:11">
      <c r="A1565" t="s">
        <v>1612</v>
      </c>
      <c r="B1565" t="s">
        <v>21</v>
      </c>
      <c r="C1565" t="s">
        <v>47</v>
      </c>
      <c r="D1565" t="s">
        <v>26</v>
      </c>
      <c r="E1565" s="1">
        <v>45251</v>
      </c>
      <c r="F1565" s="1">
        <v>45254</v>
      </c>
      <c r="G1565">
        <v>46.2</v>
      </c>
      <c r="H1565">
        <v>94.64</v>
      </c>
      <c r="I1565" t="s">
        <v>16</v>
      </c>
      <c r="J1565">
        <v>176</v>
      </c>
      <c r="K1565">
        <v>3</v>
      </c>
    </row>
    <row r="1566" spans="1:11">
      <c r="A1566" t="s">
        <v>1613</v>
      </c>
      <c r="B1566" t="s">
        <v>50</v>
      </c>
      <c r="C1566" t="s">
        <v>41</v>
      </c>
      <c r="D1566" t="s">
        <v>19</v>
      </c>
      <c r="E1566" s="1">
        <v>45133</v>
      </c>
      <c r="F1566" s="1">
        <v>45138</v>
      </c>
      <c r="G1566">
        <v>49.5</v>
      </c>
      <c r="H1566">
        <v>383.77</v>
      </c>
      <c r="I1566" t="s">
        <v>16</v>
      </c>
      <c r="J1566">
        <v>2055</v>
      </c>
      <c r="K1566">
        <v>5</v>
      </c>
    </row>
    <row r="1567" spans="1:11">
      <c r="A1567" t="s">
        <v>1614</v>
      </c>
      <c r="B1567" t="s">
        <v>40</v>
      </c>
      <c r="C1567" t="s">
        <v>45</v>
      </c>
      <c r="D1567" t="s">
        <v>15</v>
      </c>
      <c r="E1567" s="1">
        <v>45026</v>
      </c>
      <c r="G1567">
        <v>39.200000000000003</v>
      </c>
      <c r="H1567">
        <v>293.51</v>
      </c>
      <c r="I1567" t="s">
        <v>16</v>
      </c>
      <c r="J1567">
        <v>1732</v>
      </c>
      <c r="K1567">
        <v>6</v>
      </c>
    </row>
    <row r="1568" spans="1:11">
      <c r="A1568" t="s">
        <v>1615</v>
      </c>
      <c r="B1568" t="s">
        <v>40</v>
      </c>
      <c r="C1568" t="s">
        <v>71</v>
      </c>
      <c r="D1568" t="s">
        <v>60</v>
      </c>
      <c r="E1568" s="1">
        <v>45203</v>
      </c>
      <c r="F1568" s="1">
        <v>45208</v>
      </c>
      <c r="G1568">
        <v>17.7</v>
      </c>
      <c r="H1568">
        <v>168.61</v>
      </c>
      <c r="I1568" t="s">
        <v>16</v>
      </c>
      <c r="J1568">
        <v>1439</v>
      </c>
      <c r="K1568">
        <v>5</v>
      </c>
    </row>
    <row r="1569" spans="1:11">
      <c r="A1569" t="s">
        <v>1616</v>
      </c>
      <c r="B1569" t="s">
        <v>40</v>
      </c>
      <c r="C1569" t="s">
        <v>58</v>
      </c>
      <c r="D1569" t="s">
        <v>33</v>
      </c>
      <c r="E1569" s="1">
        <v>45015</v>
      </c>
      <c r="F1569" s="1">
        <v>45017</v>
      </c>
      <c r="G1569">
        <v>27.9</v>
      </c>
      <c r="H1569">
        <v>138.4</v>
      </c>
      <c r="I1569" t="s">
        <v>16</v>
      </c>
      <c r="J1569">
        <v>860</v>
      </c>
      <c r="K1569">
        <v>2</v>
      </c>
    </row>
    <row r="1570" spans="1:11">
      <c r="A1570" t="s">
        <v>1617</v>
      </c>
      <c r="B1570" t="s">
        <v>28</v>
      </c>
      <c r="C1570" t="s">
        <v>18</v>
      </c>
      <c r="D1570" t="s">
        <v>19</v>
      </c>
      <c r="E1570" s="1">
        <v>44942</v>
      </c>
      <c r="F1570" s="1">
        <v>44947</v>
      </c>
      <c r="G1570">
        <v>4.5999999999999996</v>
      </c>
      <c r="H1570">
        <v>291.01</v>
      </c>
      <c r="I1570" t="s">
        <v>16</v>
      </c>
      <c r="J1570">
        <v>2171</v>
      </c>
      <c r="K1570">
        <v>5</v>
      </c>
    </row>
    <row r="1571" spans="1:11">
      <c r="A1571" t="s">
        <v>1618</v>
      </c>
      <c r="B1571" t="s">
        <v>13</v>
      </c>
      <c r="C1571" t="s">
        <v>41</v>
      </c>
      <c r="D1571" t="s">
        <v>15</v>
      </c>
      <c r="E1571" s="1">
        <v>44994</v>
      </c>
      <c r="F1571" s="1">
        <v>45001</v>
      </c>
      <c r="G1571">
        <v>13.6</v>
      </c>
      <c r="H1571">
        <v>261.01</v>
      </c>
      <c r="I1571" t="s">
        <v>16</v>
      </c>
      <c r="J1571">
        <v>2029</v>
      </c>
      <c r="K1571">
        <v>7</v>
      </c>
    </row>
    <row r="1572" spans="1:11">
      <c r="A1572" t="s">
        <v>1619</v>
      </c>
      <c r="B1572" t="s">
        <v>36</v>
      </c>
      <c r="C1572" t="s">
        <v>45</v>
      </c>
      <c r="D1572" t="s">
        <v>43</v>
      </c>
      <c r="E1572" s="1">
        <v>44992</v>
      </c>
      <c r="F1572" s="1">
        <v>44996</v>
      </c>
      <c r="G1572">
        <v>137.5</v>
      </c>
      <c r="H1572">
        <v>165.56</v>
      </c>
      <c r="I1572" t="s">
        <v>16</v>
      </c>
      <c r="J1572">
        <v>136</v>
      </c>
      <c r="K1572">
        <v>4</v>
      </c>
    </row>
    <row r="1573" spans="1:11">
      <c r="A1573" t="s">
        <v>1620</v>
      </c>
      <c r="B1573" t="s">
        <v>57</v>
      </c>
      <c r="C1573" t="s">
        <v>58</v>
      </c>
      <c r="D1573" t="s">
        <v>38</v>
      </c>
      <c r="E1573" s="1">
        <v>45036</v>
      </c>
      <c r="F1573" s="1">
        <v>45043</v>
      </c>
      <c r="G1573">
        <v>17.100000000000001</v>
      </c>
      <c r="H1573">
        <v>303.85000000000002</v>
      </c>
      <c r="I1573" t="s">
        <v>16</v>
      </c>
      <c r="J1573">
        <v>2247</v>
      </c>
      <c r="K1573">
        <v>7</v>
      </c>
    </row>
    <row r="1574" spans="1:11">
      <c r="A1574" t="s">
        <v>1621</v>
      </c>
      <c r="B1574" t="s">
        <v>28</v>
      </c>
      <c r="C1574" t="s">
        <v>82</v>
      </c>
      <c r="D1574" t="s">
        <v>15</v>
      </c>
      <c r="E1574" s="1">
        <v>45267</v>
      </c>
      <c r="F1574" s="1">
        <v>45268</v>
      </c>
      <c r="G1574">
        <v>25.9</v>
      </c>
      <c r="H1574">
        <v>60.74</v>
      </c>
      <c r="I1574" t="s">
        <v>16</v>
      </c>
      <c r="J1574">
        <v>131</v>
      </c>
      <c r="K1574">
        <v>1</v>
      </c>
    </row>
    <row r="1575" spans="1:11">
      <c r="A1575" t="s">
        <v>1622</v>
      </c>
      <c r="B1575" t="s">
        <v>36</v>
      </c>
      <c r="C1575" t="s">
        <v>82</v>
      </c>
      <c r="D1575" t="s">
        <v>19</v>
      </c>
      <c r="E1575" s="1">
        <v>45202</v>
      </c>
      <c r="F1575" s="1">
        <v>45206</v>
      </c>
      <c r="G1575">
        <v>18.3</v>
      </c>
      <c r="H1575">
        <v>172.23</v>
      </c>
      <c r="I1575" t="s">
        <v>16</v>
      </c>
      <c r="J1575">
        <v>1000</v>
      </c>
      <c r="K1575">
        <v>4</v>
      </c>
    </row>
    <row r="1576" spans="1:11">
      <c r="A1576" t="s">
        <v>1623</v>
      </c>
      <c r="B1576" t="s">
        <v>57</v>
      </c>
      <c r="C1576" t="s">
        <v>82</v>
      </c>
      <c r="D1576" t="s">
        <v>26</v>
      </c>
      <c r="E1576" s="1">
        <v>45280</v>
      </c>
      <c r="F1576" s="1">
        <v>45282</v>
      </c>
      <c r="G1576">
        <v>6.8</v>
      </c>
      <c r="H1576">
        <v>30.04</v>
      </c>
      <c r="I1576" t="s">
        <v>16</v>
      </c>
      <c r="J1576">
        <v>152</v>
      </c>
      <c r="K1576">
        <v>2</v>
      </c>
    </row>
    <row r="1577" spans="1:11">
      <c r="A1577" t="s">
        <v>1624</v>
      </c>
      <c r="B1577" t="s">
        <v>57</v>
      </c>
      <c r="C1577" t="s">
        <v>53</v>
      </c>
      <c r="D1577" t="s">
        <v>33</v>
      </c>
      <c r="E1577" s="1">
        <v>45280</v>
      </c>
      <c r="F1577" s="1">
        <v>45281</v>
      </c>
      <c r="G1577">
        <v>34.700000000000003</v>
      </c>
      <c r="H1577">
        <v>86.21</v>
      </c>
      <c r="I1577" t="s">
        <v>16</v>
      </c>
      <c r="J1577">
        <v>224</v>
      </c>
      <c r="K1577">
        <v>1</v>
      </c>
    </row>
    <row r="1578" spans="1:11">
      <c r="A1578" t="s">
        <v>1625</v>
      </c>
      <c r="B1578" t="s">
        <v>21</v>
      </c>
      <c r="C1578" t="s">
        <v>22</v>
      </c>
      <c r="D1578" t="s">
        <v>26</v>
      </c>
      <c r="E1578" s="1">
        <v>45108</v>
      </c>
      <c r="F1578" s="1">
        <v>45120</v>
      </c>
      <c r="G1578">
        <v>36.799999999999997</v>
      </c>
      <c r="H1578">
        <v>150.78</v>
      </c>
      <c r="I1578" t="s">
        <v>48</v>
      </c>
      <c r="J1578">
        <v>882</v>
      </c>
      <c r="K1578">
        <v>2</v>
      </c>
    </row>
    <row r="1579" spans="1:11">
      <c r="A1579" t="s">
        <v>1626</v>
      </c>
      <c r="B1579" t="s">
        <v>13</v>
      </c>
      <c r="C1579" t="s">
        <v>14</v>
      </c>
      <c r="D1579" t="s">
        <v>38</v>
      </c>
      <c r="E1579" s="1">
        <v>45267</v>
      </c>
      <c r="F1579" s="1">
        <v>45271</v>
      </c>
      <c r="G1579">
        <v>28.7</v>
      </c>
      <c r="H1579">
        <v>238.39</v>
      </c>
      <c r="I1579" t="s">
        <v>16</v>
      </c>
      <c r="J1579">
        <v>1229</v>
      </c>
      <c r="K1579">
        <v>4</v>
      </c>
    </row>
    <row r="1580" spans="1:11">
      <c r="A1580" t="s">
        <v>1627</v>
      </c>
      <c r="B1580" t="s">
        <v>31</v>
      </c>
      <c r="C1580" t="s">
        <v>18</v>
      </c>
      <c r="D1580" t="s">
        <v>33</v>
      </c>
      <c r="E1580" s="1">
        <v>44942</v>
      </c>
      <c r="F1580" s="1">
        <v>44945</v>
      </c>
      <c r="G1580">
        <v>8.1</v>
      </c>
      <c r="H1580">
        <v>171.35</v>
      </c>
      <c r="I1580" t="s">
        <v>68</v>
      </c>
      <c r="J1580">
        <v>1305</v>
      </c>
      <c r="K1580">
        <v>3</v>
      </c>
    </row>
    <row r="1581" spans="1:11">
      <c r="A1581" t="s">
        <v>1628</v>
      </c>
      <c r="B1581" t="s">
        <v>52</v>
      </c>
      <c r="C1581" t="s">
        <v>25</v>
      </c>
      <c r="D1581" t="s">
        <v>19</v>
      </c>
      <c r="E1581" s="1">
        <v>45134</v>
      </c>
      <c r="F1581" s="1">
        <v>45137</v>
      </c>
      <c r="G1581">
        <v>34.6</v>
      </c>
      <c r="H1581">
        <v>91.64</v>
      </c>
      <c r="I1581" t="s">
        <v>16</v>
      </c>
      <c r="J1581">
        <v>344</v>
      </c>
      <c r="K1581">
        <v>3</v>
      </c>
    </row>
    <row r="1582" spans="1:11">
      <c r="A1582" t="s">
        <v>1629</v>
      </c>
      <c r="B1582" t="s">
        <v>50</v>
      </c>
      <c r="C1582" t="s">
        <v>82</v>
      </c>
      <c r="D1582" t="s">
        <v>15</v>
      </c>
      <c r="E1582" s="1">
        <v>45145</v>
      </c>
      <c r="G1582">
        <v>52.4</v>
      </c>
      <c r="H1582">
        <v>194.19</v>
      </c>
      <c r="I1582" t="s">
        <v>16</v>
      </c>
      <c r="J1582">
        <v>1071</v>
      </c>
      <c r="K1582">
        <v>4</v>
      </c>
    </row>
    <row r="1583" spans="1:11">
      <c r="A1583" t="s">
        <v>1630</v>
      </c>
      <c r="B1583" t="s">
        <v>50</v>
      </c>
      <c r="C1583" t="s">
        <v>45</v>
      </c>
      <c r="D1583" t="s">
        <v>26</v>
      </c>
      <c r="E1583" s="1">
        <v>45266</v>
      </c>
      <c r="F1583" s="1">
        <v>45273</v>
      </c>
      <c r="G1583">
        <v>10.8</v>
      </c>
      <c r="H1583">
        <v>225.38</v>
      </c>
      <c r="I1583" t="s">
        <v>16</v>
      </c>
      <c r="J1583">
        <v>1369</v>
      </c>
      <c r="K1583">
        <v>7</v>
      </c>
    </row>
    <row r="1584" spans="1:11">
      <c r="A1584" t="s">
        <v>1631</v>
      </c>
      <c r="B1584" t="s">
        <v>21</v>
      </c>
      <c r="C1584" t="s">
        <v>71</v>
      </c>
      <c r="D1584" t="s">
        <v>15</v>
      </c>
      <c r="E1584" s="1">
        <v>45038</v>
      </c>
      <c r="F1584" s="1">
        <v>45043</v>
      </c>
      <c r="G1584">
        <v>16.5</v>
      </c>
      <c r="H1584">
        <v>282.23</v>
      </c>
      <c r="I1584" t="s">
        <v>16</v>
      </c>
      <c r="J1584">
        <v>2056</v>
      </c>
      <c r="K1584">
        <v>5</v>
      </c>
    </row>
    <row r="1585" spans="1:11">
      <c r="A1585" t="s">
        <v>1632</v>
      </c>
      <c r="B1585" t="s">
        <v>40</v>
      </c>
      <c r="C1585" t="s">
        <v>45</v>
      </c>
      <c r="D1585" t="s">
        <v>60</v>
      </c>
      <c r="E1585" s="1">
        <v>45279</v>
      </c>
      <c r="F1585" s="1">
        <v>45283</v>
      </c>
      <c r="G1585">
        <v>108.5</v>
      </c>
      <c r="H1585">
        <v>299.16000000000003</v>
      </c>
      <c r="I1585" t="s">
        <v>16</v>
      </c>
      <c r="J1585">
        <v>1240</v>
      </c>
      <c r="K1585">
        <v>4</v>
      </c>
    </row>
    <row r="1586" spans="1:11">
      <c r="A1586" t="s">
        <v>1633</v>
      </c>
      <c r="B1586" t="s">
        <v>57</v>
      </c>
      <c r="C1586" t="s">
        <v>71</v>
      </c>
      <c r="D1586" t="s">
        <v>26</v>
      </c>
      <c r="E1586" s="1">
        <v>45018</v>
      </c>
      <c r="F1586" s="1">
        <v>45022</v>
      </c>
      <c r="G1586">
        <v>5.8</v>
      </c>
      <c r="H1586">
        <v>173.56</v>
      </c>
      <c r="I1586" t="s">
        <v>16</v>
      </c>
      <c r="J1586">
        <v>1355</v>
      </c>
      <c r="K1586">
        <v>4</v>
      </c>
    </row>
    <row r="1587" spans="1:11">
      <c r="A1587" t="s">
        <v>1634</v>
      </c>
      <c r="B1587" t="s">
        <v>40</v>
      </c>
      <c r="C1587" t="s">
        <v>45</v>
      </c>
      <c r="D1587" t="s">
        <v>19</v>
      </c>
      <c r="E1587" s="1">
        <v>45220</v>
      </c>
      <c r="F1587" s="1">
        <v>45233</v>
      </c>
      <c r="G1587">
        <v>31</v>
      </c>
      <c r="H1587">
        <v>346.62</v>
      </c>
      <c r="I1587" t="s">
        <v>48</v>
      </c>
      <c r="J1587">
        <v>2201</v>
      </c>
      <c r="K1587">
        <v>8</v>
      </c>
    </row>
    <row r="1588" spans="1:11">
      <c r="A1588" t="s">
        <v>1635</v>
      </c>
      <c r="B1588" t="s">
        <v>24</v>
      </c>
      <c r="C1588" t="s">
        <v>18</v>
      </c>
      <c r="D1588" t="s">
        <v>60</v>
      </c>
      <c r="E1588" s="1">
        <v>45215</v>
      </c>
      <c r="F1588" s="1">
        <v>45216</v>
      </c>
      <c r="G1588">
        <v>58.5</v>
      </c>
      <c r="H1588">
        <v>83.51</v>
      </c>
      <c r="I1588" t="s">
        <v>16</v>
      </c>
      <c r="J1588">
        <v>122</v>
      </c>
      <c r="K1588">
        <v>1</v>
      </c>
    </row>
    <row r="1589" spans="1:11">
      <c r="A1589" t="s">
        <v>1636</v>
      </c>
      <c r="B1589" t="s">
        <v>13</v>
      </c>
      <c r="C1589" t="s">
        <v>82</v>
      </c>
      <c r="D1589" t="s">
        <v>38</v>
      </c>
      <c r="E1589" s="1">
        <v>45203</v>
      </c>
      <c r="F1589" s="1">
        <v>45205</v>
      </c>
      <c r="G1589">
        <v>18.3</v>
      </c>
      <c r="H1589">
        <v>119.1</v>
      </c>
      <c r="I1589" t="s">
        <v>61</v>
      </c>
      <c r="J1589">
        <v>860</v>
      </c>
      <c r="K1589">
        <v>2</v>
      </c>
    </row>
    <row r="1590" spans="1:11">
      <c r="A1590" t="s">
        <v>1637</v>
      </c>
      <c r="B1590" t="s">
        <v>40</v>
      </c>
      <c r="C1590" t="s">
        <v>41</v>
      </c>
      <c r="D1590" t="s">
        <v>38</v>
      </c>
      <c r="E1590" s="1">
        <v>45157</v>
      </c>
      <c r="F1590" s="1">
        <v>45162</v>
      </c>
      <c r="G1590">
        <v>38.1</v>
      </c>
      <c r="H1590">
        <v>172.76</v>
      </c>
      <c r="I1590" t="s">
        <v>16</v>
      </c>
      <c r="J1590">
        <v>1115</v>
      </c>
      <c r="K1590">
        <v>5</v>
      </c>
    </row>
    <row r="1591" spans="1:11">
      <c r="A1591" t="s">
        <v>1638</v>
      </c>
      <c r="B1591" t="s">
        <v>13</v>
      </c>
      <c r="C1591" t="s">
        <v>14</v>
      </c>
      <c r="D1591" t="s">
        <v>19</v>
      </c>
      <c r="E1591" s="1">
        <v>45052</v>
      </c>
      <c r="G1591">
        <v>42.5</v>
      </c>
      <c r="H1591">
        <v>287</v>
      </c>
      <c r="I1591" t="s">
        <v>16</v>
      </c>
      <c r="J1591">
        <v>1527</v>
      </c>
      <c r="K1591">
        <v>3</v>
      </c>
    </row>
    <row r="1592" spans="1:11">
      <c r="A1592" t="s">
        <v>1639</v>
      </c>
      <c r="B1592" t="s">
        <v>50</v>
      </c>
      <c r="C1592" t="s">
        <v>18</v>
      </c>
      <c r="D1592" t="s">
        <v>38</v>
      </c>
      <c r="E1592" s="1">
        <v>45215</v>
      </c>
      <c r="F1592" s="1">
        <v>45218</v>
      </c>
      <c r="G1592">
        <v>15.2</v>
      </c>
      <c r="H1592">
        <v>160.36000000000001</v>
      </c>
      <c r="I1592" t="s">
        <v>16</v>
      </c>
      <c r="J1592">
        <v>1098</v>
      </c>
      <c r="K1592">
        <v>3</v>
      </c>
    </row>
    <row r="1593" spans="1:11">
      <c r="A1593" t="s">
        <v>1640</v>
      </c>
      <c r="B1593" t="s">
        <v>13</v>
      </c>
      <c r="C1593" t="s">
        <v>71</v>
      </c>
      <c r="D1593" t="s">
        <v>26</v>
      </c>
      <c r="E1593" s="1">
        <v>45143</v>
      </c>
      <c r="F1593" s="1">
        <v>45149</v>
      </c>
      <c r="G1593">
        <v>23.4</v>
      </c>
      <c r="H1593">
        <v>311.04000000000002</v>
      </c>
      <c r="I1593" t="s">
        <v>16</v>
      </c>
      <c r="J1593">
        <v>2447</v>
      </c>
      <c r="K1593">
        <v>6</v>
      </c>
    </row>
    <row r="1594" spans="1:11">
      <c r="A1594" t="s">
        <v>1641</v>
      </c>
      <c r="B1594" t="s">
        <v>24</v>
      </c>
      <c r="C1594" t="s">
        <v>71</v>
      </c>
      <c r="D1594" t="s">
        <v>15</v>
      </c>
      <c r="E1594" s="1">
        <v>44938</v>
      </c>
      <c r="F1594" s="1">
        <v>44943</v>
      </c>
      <c r="G1594">
        <v>31.7</v>
      </c>
      <c r="H1594">
        <v>195.68</v>
      </c>
      <c r="I1594" t="s">
        <v>16</v>
      </c>
      <c r="J1594">
        <v>1114</v>
      </c>
      <c r="K1594">
        <v>5</v>
      </c>
    </row>
    <row r="1595" spans="1:11">
      <c r="A1595" t="s">
        <v>1642</v>
      </c>
      <c r="B1595" t="s">
        <v>52</v>
      </c>
      <c r="C1595" t="s">
        <v>29</v>
      </c>
      <c r="D1595" t="s">
        <v>60</v>
      </c>
      <c r="E1595" s="1">
        <v>44938</v>
      </c>
      <c r="F1595" s="1">
        <v>44941</v>
      </c>
      <c r="G1595">
        <v>16.3</v>
      </c>
      <c r="H1595">
        <v>105.67</v>
      </c>
      <c r="I1595" t="s">
        <v>16</v>
      </c>
      <c r="J1595">
        <v>759</v>
      </c>
      <c r="K1595">
        <v>3</v>
      </c>
    </row>
    <row r="1596" spans="1:11">
      <c r="A1596" t="s">
        <v>1643</v>
      </c>
      <c r="B1596" t="s">
        <v>50</v>
      </c>
      <c r="C1596" t="s">
        <v>29</v>
      </c>
      <c r="D1596" t="s">
        <v>60</v>
      </c>
      <c r="E1596" s="1">
        <v>44999</v>
      </c>
      <c r="F1596" s="1">
        <v>45004</v>
      </c>
      <c r="G1596">
        <v>34</v>
      </c>
      <c r="H1596">
        <v>267.20999999999998</v>
      </c>
      <c r="I1596" t="s">
        <v>16</v>
      </c>
      <c r="J1596">
        <v>2176</v>
      </c>
      <c r="K1596">
        <v>5</v>
      </c>
    </row>
    <row r="1597" spans="1:11">
      <c r="A1597" t="s">
        <v>1644</v>
      </c>
      <c r="B1597" t="s">
        <v>13</v>
      </c>
      <c r="C1597" t="s">
        <v>29</v>
      </c>
      <c r="D1597" t="s">
        <v>38</v>
      </c>
      <c r="E1597" s="1">
        <v>45279</v>
      </c>
      <c r="F1597" s="1">
        <v>45282</v>
      </c>
      <c r="G1597">
        <v>10</v>
      </c>
      <c r="H1597">
        <v>60.18</v>
      </c>
      <c r="I1597" t="s">
        <v>16</v>
      </c>
      <c r="J1597">
        <v>287</v>
      </c>
      <c r="K1597">
        <v>3</v>
      </c>
    </row>
    <row r="1598" spans="1:11">
      <c r="A1598" t="s">
        <v>1645</v>
      </c>
      <c r="B1598" t="s">
        <v>21</v>
      </c>
      <c r="C1598" t="s">
        <v>32</v>
      </c>
      <c r="D1598" t="s">
        <v>15</v>
      </c>
      <c r="E1598" s="1">
        <v>45237</v>
      </c>
      <c r="F1598" s="1">
        <v>45241</v>
      </c>
      <c r="G1598">
        <v>17.399999999999999</v>
      </c>
      <c r="H1598">
        <v>250.16</v>
      </c>
      <c r="I1598" t="s">
        <v>16</v>
      </c>
      <c r="J1598">
        <v>1356</v>
      </c>
      <c r="K1598">
        <v>4</v>
      </c>
    </row>
    <row r="1599" spans="1:11">
      <c r="A1599" t="s">
        <v>1646</v>
      </c>
      <c r="B1599" t="s">
        <v>57</v>
      </c>
      <c r="C1599" t="s">
        <v>18</v>
      </c>
      <c r="D1599" t="s">
        <v>26</v>
      </c>
      <c r="E1599" s="1">
        <v>45223</v>
      </c>
      <c r="F1599" s="1">
        <v>45225</v>
      </c>
      <c r="G1599">
        <v>20</v>
      </c>
      <c r="H1599">
        <v>113.54</v>
      </c>
      <c r="I1599" t="s">
        <v>16</v>
      </c>
      <c r="J1599">
        <v>737</v>
      </c>
      <c r="K1599">
        <v>2</v>
      </c>
    </row>
    <row r="1600" spans="1:11">
      <c r="A1600" t="s">
        <v>1647</v>
      </c>
      <c r="B1600" t="s">
        <v>28</v>
      </c>
      <c r="C1600" t="s">
        <v>53</v>
      </c>
      <c r="D1600" t="s">
        <v>38</v>
      </c>
      <c r="E1600" s="1">
        <v>45119</v>
      </c>
      <c r="F1600" s="1">
        <v>45122</v>
      </c>
      <c r="G1600">
        <v>11.5</v>
      </c>
      <c r="H1600">
        <v>148.69</v>
      </c>
      <c r="I1600" t="s">
        <v>16</v>
      </c>
      <c r="J1600">
        <v>1189</v>
      </c>
      <c r="K1600">
        <v>3</v>
      </c>
    </row>
    <row r="1601" spans="1:11">
      <c r="A1601" t="s">
        <v>1648</v>
      </c>
      <c r="B1601" t="s">
        <v>36</v>
      </c>
      <c r="C1601" t="s">
        <v>82</v>
      </c>
      <c r="D1601" t="s">
        <v>19</v>
      </c>
      <c r="E1601" s="1">
        <v>45271</v>
      </c>
      <c r="F1601" s="1">
        <v>45274</v>
      </c>
      <c r="G1601">
        <v>35.1</v>
      </c>
      <c r="H1601">
        <v>226.64</v>
      </c>
      <c r="I1601" t="s">
        <v>16</v>
      </c>
      <c r="J1601">
        <v>1000</v>
      </c>
      <c r="K1601">
        <v>3</v>
      </c>
    </row>
    <row r="1602" spans="1:11">
      <c r="A1602" t="s">
        <v>1649</v>
      </c>
      <c r="B1602" t="s">
        <v>21</v>
      </c>
      <c r="C1602" t="s">
        <v>58</v>
      </c>
      <c r="D1602" t="s">
        <v>43</v>
      </c>
      <c r="E1602" s="1">
        <v>45215</v>
      </c>
      <c r="F1602" s="1">
        <v>45221</v>
      </c>
      <c r="G1602">
        <v>32.299999999999997</v>
      </c>
      <c r="H1602">
        <v>304.81</v>
      </c>
      <c r="I1602" t="s">
        <v>16</v>
      </c>
      <c r="J1602">
        <v>2156</v>
      </c>
      <c r="K1602">
        <v>6</v>
      </c>
    </row>
    <row r="1603" spans="1:11">
      <c r="A1603" t="s">
        <v>1650</v>
      </c>
      <c r="B1603" t="s">
        <v>13</v>
      </c>
      <c r="C1603" t="s">
        <v>55</v>
      </c>
      <c r="D1603" t="s">
        <v>15</v>
      </c>
      <c r="E1603" s="1">
        <v>45123</v>
      </c>
      <c r="F1603" s="1">
        <v>45125</v>
      </c>
      <c r="G1603">
        <v>38.4</v>
      </c>
      <c r="H1603">
        <v>177.3</v>
      </c>
      <c r="I1603" t="s">
        <v>16</v>
      </c>
      <c r="J1603">
        <v>916</v>
      </c>
      <c r="K1603">
        <v>2</v>
      </c>
    </row>
    <row r="1604" spans="1:11">
      <c r="A1604" t="s">
        <v>1651</v>
      </c>
      <c r="B1604" t="s">
        <v>28</v>
      </c>
      <c r="C1604" t="s">
        <v>25</v>
      </c>
      <c r="D1604" t="s">
        <v>60</v>
      </c>
      <c r="E1604" s="1">
        <v>45135</v>
      </c>
      <c r="F1604" s="1">
        <v>45147</v>
      </c>
      <c r="G1604">
        <v>71.900000000000006</v>
      </c>
      <c r="H1604">
        <v>123.54</v>
      </c>
      <c r="I1604" t="s">
        <v>48</v>
      </c>
      <c r="J1604">
        <v>450</v>
      </c>
      <c r="K1604">
        <v>2</v>
      </c>
    </row>
    <row r="1605" spans="1:11">
      <c r="A1605" t="s">
        <v>1652</v>
      </c>
      <c r="B1605" t="s">
        <v>36</v>
      </c>
      <c r="C1605" t="s">
        <v>32</v>
      </c>
      <c r="D1605" t="s">
        <v>26</v>
      </c>
      <c r="E1605" s="1">
        <v>45275</v>
      </c>
      <c r="F1605" s="1">
        <v>45279</v>
      </c>
      <c r="G1605">
        <v>10.7</v>
      </c>
      <c r="H1605">
        <v>219.96</v>
      </c>
      <c r="I1605" t="s">
        <v>16</v>
      </c>
      <c r="J1605">
        <v>1474</v>
      </c>
      <c r="K1605">
        <v>4</v>
      </c>
    </row>
    <row r="1606" spans="1:11">
      <c r="A1606" t="s">
        <v>1653</v>
      </c>
      <c r="B1606" t="s">
        <v>50</v>
      </c>
      <c r="C1606" t="s">
        <v>55</v>
      </c>
      <c r="D1606" t="s">
        <v>60</v>
      </c>
      <c r="E1606" s="1">
        <v>44940</v>
      </c>
      <c r="F1606" s="1">
        <v>44944</v>
      </c>
      <c r="G1606">
        <v>20.6</v>
      </c>
      <c r="H1606">
        <v>181.01</v>
      </c>
      <c r="I1606" t="s">
        <v>63</v>
      </c>
      <c r="J1606">
        <v>1523</v>
      </c>
      <c r="K1606">
        <v>4</v>
      </c>
    </row>
    <row r="1607" spans="1:11">
      <c r="A1607" t="s">
        <v>1654</v>
      </c>
      <c r="B1607" t="s">
        <v>52</v>
      </c>
      <c r="C1607" t="s">
        <v>25</v>
      </c>
      <c r="D1607" t="s">
        <v>26</v>
      </c>
      <c r="E1607" s="1">
        <v>45010</v>
      </c>
      <c r="F1607" s="1">
        <v>45016</v>
      </c>
      <c r="G1607">
        <v>27.4</v>
      </c>
      <c r="I1607" t="s">
        <v>16</v>
      </c>
      <c r="J1607">
        <v>986</v>
      </c>
      <c r="K1607">
        <v>6</v>
      </c>
    </row>
    <row r="1608" spans="1:11">
      <c r="A1608" t="s">
        <v>1655</v>
      </c>
      <c r="B1608" t="s">
        <v>24</v>
      </c>
      <c r="C1608" t="s">
        <v>41</v>
      </c>
      <c r="D1608" t="s">
        <v>19</v>
      </c>
      <c r="E1608" s="1">
        <v>45093</v>
      </c>
      <c r="F1608" s="1">
        <v>45112</v>
      </c>
      <c r="G1608">
        <v>23.1</v>
      </c>
      <c r="H1608">
        <v>323.18</v>
      </c>
      <c r="I1608" t="s">
        <v>48</v>
      </c>
      <c r="J1608">
        <v>1989</v>
      </c>
      <c r="K1608">
        <v>6</v>
      </c>
    </row>
    <row r="1609" spans="1:11">
      <c r="A1609" t="s">
        <v>1656</v>
      </c>
      <c r="B1609" t="s">
        <v>50</v>
      </c>
      <c r="C1609" t="s">
        <v>22</v>
      </c>
      <c r="D1609" t="s">
        <v>43</v>
      </c>
      <c r="E1609" s="1">
        <v>44994</v>
      </c>
      <c r="F1609" s="1">
        <v>44999</v>
      </c>
      <c r="G1609">
        <v>8.1999999999999993</v>
      </c>
      <c r="H1609">
        <v>212.27</v>
      </c>
      <c r="I1609" t="s">
        <v>16</v>
      </c>
      <c r="J1609">
        <v>1713</v>
      </c>
      <c r="K1609">
        <v>5</v>
      </c>
    </row>
    <row r="1610" spans="1:11">
      <c r="A1610" t="s">
        <v>1657</v>
      </c>
      <c r="B1610" t="s">
        <v>13</v>
      </c>
      <c r="C1610" t="s">
        <v>37</v>
      </c>
      <c r="D1610" t="s">
        <v>43</v>
      </c>
      <c r="E1610" s="1">
        <v>45267</v>
      </c>
      <c r="F1610" s="1">
        <v>45269</v>
      </c>
      <c r="G1610">
        <v>30.1</v>
      </c>
      <c r="H1610">
        <v>122.82</v>
      </c>
      <c r="I1610" t="s">
        <v>16</v>
      </c>
      <c r="J1610">
        <v>594</v>
      </c>
      <c r="K1610">
        <v>2</v>
      </c>
    </row>
    <row r="1611" spans="1:11">
      <c r="A1611" t="s">
        <v>1658</v>
      </c>
      <c r="B1611" t="s">
        <v>52</v>
      </c>
      <c r="C1611" t="s">
        <v>53</v>
      </c>
      <c r="D1611" t="s">
        <v>33</v>
      </c>
      <c r="E1611" s="1">
        <v>45282</v>
      </c>
      <c r="F1611" s="1">
        <v>45287</v>
      </c>
      <c r="G1611">
        <v>12.6</v>
      </c>
      <c r="H1611">
        <v>367.26</v>
      </c>
      <c r="I1611" t="s">
        <v>16</v>
      </c>
      <c r="J1611">
        <v>2151</v>
      </c>
      <c r="K1611">
        <v>5</v>
      </c>
    </row>
    <row r="1612" spans="1:11">
      <c r="A1612" t="s">
        <v>1659</v>
      </c>
      <c r="B1612" t="s">
        <v>36</v>
      </c>
      <c r="C1612" t="s">
        <v>47</v>
      </c>
      <c r="D1612" t="s">
        <v>38</v>
      </c>
      <c r="E1612" s="1">
        <v>44966</v>
      </c>
      <c r="F1612" s="1">
        <v>44970</v>
      </c>
      <c r="G1612">
        <v>33.4</v>
      </c>
      <c r="H1612">
        <v>160.62</v>
      </c>
      <c r="I1612" t="s">
        <v>16</v>
      </c>
      <c r="J1612">
        <v>989</v>
      </c>
      <c r="K1612">
        <v>4</v>
      </c>
    </row>
    <row r="1613" spans="1:11">
      <c r="A1613" t="s">
        <v>1660</v>
      </c>
      <c r="B1613" t="s">
        <v>31</v>
      </c>
      <c r="C1613" t="s">
        <v>82</v>
      </c>
      <c r="D1613" t="s">
        <v>15</v>
      </c>
      <c r="E1613" s="1">
        <v>45281</v>
      </c>
      <c r="F1613" s="1">
        <v>45282</v>
      </c>
      <c r="G1613">
        <v>17.3</v>
      </c>
      <c r="H1613">
        <v>70.13</v>
      </c>
      <c r="I1613" t="s">
        <v>16</v>
      </c>
      <c r="J1613">
        <v>250</v>
      </c>
      <c r="K1613">
        <v>1</v>
      </c>
    </row>
    <row r="1614" spans="1:11">
      <c r="A1614" t="s">
        <v>1661</v>
      </c>
      <c r="B1614" t="s">
        <v>21</v>
      </c>
      <c r="C1614" t="s">
        <v>47</v>
      </c>
      <c r="D1614" t="s">
        <v>26</v>
      </c>
      <c r="E1614" s="1">
        <v>45070</v>
      </c>
      <c r="F1614" s="1">
        <v>45073</v>
      </c>
      <c r="G1614">
        <v>39.6</v>
      </c>
      <c r="H1614">
        <v>95.86</v>
      </c>
      <c r="I1614" t="s">
        <v>16</v>
      </c>
      <c r="J1614">
        <v>378</v>
      </c>
      <c r="K1614">
        <v>3</v>
      </c>
    </row>
    <row r="1615" spans="1:11">
      <c r="A1615" t="s">
        <v>1662</v>
      </c>
      <c r="B1615" t="s">
        <v>36</v>
      </c>
      <c r="C1615" t="s">
        <v>41</v>
      </c>
      <c r="D1615" t="s">
        <v>38</v>
      </c>
      <c r="E1615" s="1">
        <v>45196</v>
      </c>
      <c r="F1615" s="1">
        <v>45197</v>
      </c>
      <c r="G1615">
        <v>58.9</v>
      </c>
      <c r="H1615">
        <v>105.74</v>
      </c>
      <c r="I1615" t="s">
        <v>16</v>
      </c>
      <c r="J1615">
        <v>283</v>
      </c>
      <c r="K1615">
        <v>1</v>
      </c>
    </row>
    <row r="1616" spans="1:11">
      <c r="A1616" t="s">
        <v>1663</v>
      </c>
      <c r="B1616" t="s">
        <v>24</v>
      </c>
      <c r="C1616" t="s">
        <v>41</v>
      </c>
      <c r="D1616" t="s">
        <v>19</v>
      </c>
      <c r="E1616" s="1">
        <v>45178</v>
      </c>
      <c r="F1616" s="1">
        <v>45181</v>
      </c>
      <c r="G1616">
        <v>66.7</v>
      </c>
      <c r="H1616">
        <v>268.33999999999997</v>
      </c>
      <c r="I1616" t="s">
        <v>16</v>
      </c>
      <c r="J1616">
        <v>1387</v>
      </c>
      <c r="K1616">
        <v>3</v>
      </c>
    </row>
    <row r="1617" spans="1:11">
      <c r="A1617" t="s">
        <v>1664</v>
      </c>
      <c r="B1617" t="s">
        <v>50</v>
      </c>
      <c r="C1617" t="s">
        <v>22</v>
      </c>
      <c r="D1617" t="s">
        <v>33</v>
      </c>
      <c r="E1617" s="1">
        <v>45020</v>
      </c>
      <c r="F1617" s="1">
        <v>45026</v>
      </c>
      <c r="G1617">
        <v>7</v>
      </c>
      <c r="H1617">
        <v>303.42</v>
      </c>
      <c r="I1617" t="s">
        <v>16</v>
      </c>
      <c r="J1617">
        <v>2228</v>
      </c>
      <c r="K1617">
        <v>6</v>
      </c>
    </row>
    <row r="1618" spans="1:11">
      <c r="A1618" t="s">
        <v>1665</v>
      </c>
      <c r="B1618" t="s">
        <v>57</v>
      </c>
      <c r="C1618" t="s">
        <v>18</v>
      </c>
      <c r="D1618" t="s">
        <v>43</v>
      </c>
      <c r="E1618" s="1">
        <v>45065</v>
      </c>
      <c r="F1618" s="1">
        <v>45070</v>
      </c>
      <c r="G1618">
        <v>49.9</v>
      </c>
      <c r="H1618">
        <v>288.11</v>
      </c>
      <c r="I1618" t="s">
        <v>16</v>
      </c>
      <c r="J1618">
        <v>2067</v>
      </c>
      <c r="K1618">
        <v>5</v>
      </c>
    </row>
    <row r="1619" spans="1:11">
      <c r="A1619" t="s">
        <v>1666</v>
      </c>
      <c r="B1619" t="s">
        <v>40</v>
      </c>
      <c r="C1619" t="s">
        <v>41</v>
      </c>
      <c r="D1619" t="s">
        <v>60</v>
      </c>
      <c r="E1619" s="1">
        <v>45173</v>
      </c>
      <c r="F1619" s="1">
        <v>45179</v>
      </c>
      <c r="G1619">
        <v>7.2</v>
      </c>
      <c r="I1619" t="s">
        <v>48</v>
      </c>
      <c r="J1619">
        <v>881</v>
      </c>
      <c r="K1619">
        <v>5</v>
      </c>
    </row>
    <row r="1620" spans="1:11">
      <c r="A1620" t="s">
        <v>1667</v>
      </c>
      <c r="B1620" t="s">
        <v>28</v>
      </c>
      <c r="C1620" t="s">
        <v>47</v>
      </c>
      <c r="D1620" t="s">
        <v>60</v>
      </c>
      <c r="E1620" s="1">
        <v>45162</v>
      </c>
      <c r="F1620" s="1">
        <v>45165</v>
      </c>
      <c r="G1620">
        <v>8.8000000000000007</v>
      </c>
      <c r="H1620">
        <v>132.34</v>
      </c>
      <c r="I1620" t="s">
        <v>16</v>
      </c>
      <c r="J1620">
        <v>1021</v>
      </c>
      <c r="K1620">
        <v>3</v>
      </c>
    </row>
    <row r="1621" spans="1:11">
      <c r="A1621" t="s">
        <v>1668</v>
      </c>
      <c r="B1621" t="s">
        <v>13</v>
      </c>
      <c r="C1621" t="s">
        <v>58</v>
      </c>
      <c r="D1621" t="s">
        <v>43</v>
      </c>
      <c r="E1621" s="1">
        <v>45197</v>
      </c>
      <c r="F1621" s="1">
        <v>45200</v>
      </c>
      <c r="G1621">
        <v>14.5</v>
      </c>
      <c r="H1621">
        <v>183.23</v>
      </c>
      <c r="I1621" t="s">
        <v>16</v>
      </c>
      <c r="J1621">
        <v>1420</v>
      </c>
      <c r="K1621">
        <v>3</v>
      </c>
    </row>
    <row r="1622" spans="1:11">
      <c r="A1622" t="s">
        <v>1669</v>
      </c>
      <c r="B1622" t="s">
        <v>24</v>
      </c>
      <c r="C1622" t="s">
        <v>53</v>
      </c>
      <c r="D1622" t="s">
        <v>43</v>
      </c>
      <c r="E1622" s="1">
        <v>44993</v>
      </c>
      <c r="F1622" s="1">
        <v>44997</v>
      </c>
      <c r="G1622">
        <v>25.8</v>
      </c>
      <c r="H1622">
        <v>137.06</v>
      </c>
      <c r="I1622" t="s">
        <v>63</v>
      </c>
      <c r="J1622">
        <v>896</v>
      </c>
      <c r="K1622">
        <v>4</v>
      </c>
    </row>
    <row r="1623" spans="1:11">
      <c r="A1623" t="s">
        <v>1670</v>
      </c>
      <c r="B1623" t="s">
        <v>28</v>
      </c>
      <c r="C1623" t="s">
        <v>71</v>
      </c>
      <c r="D1623" t="s">
        <v>26</v>
      </c>
      <c r="E1623" s="1">
        <v>45041</v>
      </c>
      <c r="F1623" s="1">
        <v>45043</v>
      </c>
      <c r="G1623">
        <v>10.6</v>
      </c>
      <c r="H1623">
        <v>110.85</v>
      </c>
      <c r="I1623" t="s">
        <v>16</v>
      </c>
      <c r="J1623">
        <v>752</v>
      </c>
      <c r="K1623">
        <v>2</v>
      </c>
    </row>
    <row r="1624" spans="1:11">
      <c r="A1624" t="s">
        <v>1671</v>
      </c>
      <c r="B1624" t="s">
        <v>31</v>
      </c>
      <c r="C1624" t="s">
        <v>18</v>
      </c>
      <c r="D1624" t="s">
        <v>60</v>
      </c>
      <c r="E1624" s="1">
        <v>45255</v>
      </c>
      <c r="F1624" s="1">
        <v>45257</v>
      </c>
      <c r="G1624">
        <v>22.1</v>
      </c>
      <c r="H1624">
        <v>93</v>
      </c>
      <c r="I1624" t="s">
        <v>16</v>
      </c>
      <c r="J1624">
        <v>398</v>
      </c>
      <c r="K1624">
        <v>2</v>
      </c>
    </row>
    <row r="1625" spans="1:11">
      <c r="A1625" t="s">
        <v>1672</v>
      </c>
      <c r="B1625" t="s">
        <v>57</v>
      </c>
      <c r="C1625" t="s">
        <v>55</v>
      </c>
      <c r="D1625" t="s">
        <v>38</v>
      </c>
      <c r="E1625" s="1">
        <v>45033</v>
      </c>
      <c r="F1625" s="1">
        <v>45038</v>
      </c>
      <c r="G1625">
        <v>15.3</v>
      </c>
      <c r="H1625">
        <v>157.36000000000001</v>
      </c>
      <c r="I1625" t="s">
        <v>16</v>
      </c>
      <c r="J1625">
        <v>1237</v>
      </c>
      <c r="K1625">
        <v>5</v>
      </c>
    </row>
    <row r="1626" spans="1:11">
      <c r="A1626" t="s">
        <v>1673</v>
      </c>
      <c r="B1626" t="s">
        <v>57</v>
      </c>
      <c r="C1626" t="s">
        <v>55</v>
      </c>
      <c r="D1626" t="s">
        <v>26</v>
      </c>
      <c r="E1626" s="1">
        <v>44956</v>
      </c>
      <c r="F1626" s="1">
        <v>44960</v>
      </c>
      <c r="G1626">
        <v>16.2</v>
      </c>
      <c r="H1626">
        <v>230.74</v>
      </c>
      <c r="I1626" t="s">
        <v>16</v>
      </c>
      <c r="J1626">
        <v>1651</v>
      </c>
      <c r="K1626">
        <v>4</v>
      </c>
    </row>
    <row r="1627" spans="1:11">
      <c r="A1627" t="s">
        <v>1674</v>
      </c>
      <c r="B1627" t="s">
        <v>21</v>
      </c>
      <c r="C1627" t="s">
        <v>55</v>
      </c>
      <c r="D1627" t="s">
        <v>38</v>
      </c>
      <c r="E1627" s="1">
        <v>45291</v>
      </c>
      <c r="F1627" s="1">
        <v>45295</v>
      </c>
      <c r="G1627">
        <v>37</v>
      </c>
      <c r="H1627">
        <v>306.42</v>
      </c>
      <c r="I1627" t="s">
        <v>16</v>
      </c>
      <c r="J1627">
        <v>1658</v>
      </c>
      <c r="K1627">
        <v>4</v>
      </c>
    </row>
    <row r="1628" spans="1:11">
      <c r="A1628" t="s">
        <v>1675</v>
      </c>
      <c r="B1628" t="s">
        <v>13</v>
      </c>
      <c r="C1628" t="s">
        <v>82</v>
      </c>
      <c r="D1628" t="s">
        <v>60</v>
      </c>
      <c r="E1628" s="1">
        <v>45271</v>
      </c>
      <c r="F1628" s="1">
        <v>45277</v>
      </c>
      <c r="G1628">
        <v>42.7</v>
      </c>
      <c r="H1628">
        <v>319.58</v>
      </c>
      <c r="I1628" t="s">
        <v>16</v>
      </c>
      <c r="J1628">
        <v>1829</v>
      </c>
      <c r="K1628">
        <v>6</v>
      </c>
    </row>
    <row r="1629" spans="1:11">
      <c r="A1629" t="s">
        <v>1676</v>
      </c>
      <c r="B1629" t="s">
        <v>52</v>
      </c>
      <c r="C1629" t="s">
        <v>22</v>
      </c>
      <c r="D1629" t="s">
        <v>19</v>
      </c>
      <c r="E1629" s="1">
        <v>44960</v>
      </c>
      <c r="F1629" s="1">
        <v>44965</v>
      </c>
      <c r="G1629">
        <v>7.4</v>
      </c>
      <c r="H1629">
        <v>252.34</v>
      </c>
      <c r="I1629" t="s">
        <v>16</v>
      </c>
      <c r="J1629">
        <v>1879</v>
      </c>
      <c r="K1629">
        <v>5</v>
      </c>
    </row>
    <row r="1630" spans="1:11">
      <c r="A1630" t="s">
        <v>1677</v>
      </c>
      <c r="B1630" t="s">
        <v>40</v>
      </c>
      <c r="C1630" t="s">
        <v>41</v>
      </c>
      <c r="D1630" t="s">
        <v>38</v>
      </c>
      <c r="E1630" s="1">
        <v>45155</v>
      </c>
      <c r="F1630" s="1">
        <v>45160</v>
      </c>
      <c r="G1630">
        <v>23.4</v>
      </c>
      <c r="H1630">
        <v>89.92</v>
      </c>
      <c r="I1630" t="s">
        <v>48</v>
      </c>
      <c r="J1630">
        <v>454</v>
      </c>
      <c r="K1630">
        <v>1</v>
      </c>
    </row>
    <row r="1631" spans="1:11">
      <c r="A1631" t="s">
        <v>1678</v>
      </c>
      <c r="B1631" t="s">
        <v>52</v>
      </c>
      <c r="C1631" t="s">
        <v>58</v>
      </c>
      <c r="D1631" t="s">
        <v>38</v>
      </c>
      <c r="E1631" s="1">
        <v>45052</v>
      </c>
      <c r="F1631" s="1">
        <v>45053</v>
      </c>
      <c r="G1631">
        <v>34.9</v>
      </c>
      <c r="H1631">
        <v>61.85</v>
      </c>
      <c r="I1631" t="s">
        <v>16</v>
      </c>
      <c r="J1631">
        <v>197</v>
      </c>
      <c r="K1631">
        <v>1</v>
      </c>
    </row>
    <row r="1632" spans="1:11">
      <c r="A1632" t="s">
        <v>1679</v>
      </c>
      <c r="B1632" t="s">
        <v>57</v>
      </c>
      <c r="C1632" t="s">
        <v>45</v>
      </c>
      <c r="D1632" t="s">
        <v>26</v>
      </c>
      <c r="E1632" s="1">
        <v>45070</v>
      </c>
      <c r="F1632" s="1">
        <v>45075</v>
      </c>
      <c r="G1632">
        <v>8.1</v>
      </c>
      <c r="H1632">
        <v>174.87</v>
      </c>
      <c r="I1632" t="s">
        <v>16</v>
      </c>
      <c r="J1632">
        <v>1325</v>
      </c>
      <c r="K1632">
        <v>5</v>
      </c>
    </row>
    <row r="1633" spans="1:11">
      <c r="A1633" t="s">
        <v>1680</v>
      </c>
      <c r="B1633" t="s">
        <v>21</v>
      </c>
      <c r="C1633" t="s">
        <v>37</v>
      </c>
      <c r="D1633" t="s">
        <v>33</v>
      </c>
      <c r="E1633" s="1">
        <v>45238</v>
      </c>
      <c r="F1633" s="1">
        <v>45244</v>
      </c>
      <c r="G1633">
        <v>6.2</v>
      </c>
      <c r="H1633">
        <v>268.27</v>
      </c>
      <c r="I1633" t="s">
        <v>16</v>
      </c>
      <c r="J1633">
        <v>1538</v>
      </c>
      <c r="K1633">
        <v>6</v>
      </c>
    </row>
    <row r="1634" spans="1:11">
      <c r="A1634" t="s">
        <v>1681</v>
      </c>
      <c r="B1634" t="s">
        <v>28</v>
      </c>
      <c r="C1634" t="s">
        <v>45</v>
      </c>
      <c r="D1634" t="s">
        <v>26</v>
      </c>
      <c r="E1634" s="1">
        <v>44931</v>
      </c>
      <c r="F1634" s="1">
        <v>44936</v>
      </c>
      <c r="G1634">
        <v>14</v>
      </c>
      <c r="H1634">
        <v>151.05000000000001</v>
      </c>
      <c r="I1634" t="s">
        <v>16</v>
      </c>
      <c r="J1634">
        <v>1077</v>
      </c>
      <c r="K1634">
        <v>5</v>
      </c>
    </row>
    <row r="1635" spans="1:11">
      <c r="A1635" t="s">
        <v>1682</v>
      </c>
      <c r="B1635" t="s">
        <v>40</v>
      </c>
      <c r="C1635" t="s">
        <v>55</v>
      </c>
      <c r="D1635" t="s">
        <v>19</v>
      </c>
      <c r="E1635" s="1">
        <v>45236</v>
      </c>
      <c r="F1635" s="1">
        <v>45240</v>
      </c>
      <c r="G1635">
        <v>10</v>
      </c>
      <c r="H1635">
        <v>118.15</v>
      </c>
      <c r="I1635" t="s">
        <v>48</v>
      </c>
      <c r="J1635">
        <v>638</v>
      </c>
      <c r="K1635">
        <v>2</v>
      </c>
    </row>
    <row r="1636" spans="1:11">
      <c r="A1636" t="s">
        <v>1683</v>
      </c>
      <c r="B1636" t="s">
        <v>28</v>
      </c>
      <c r="C1636" t="s">
        <v>47</v>
      </c>
      <c r="D1636" t="s">
        <v>60</v>
      </c>
      <c r="E1636" s="1">
        <v>45249</v>
      </c>
      <c r="F1636" s="1">
        <v>45258</v>
      </c>
      <c r="G1636">
        <v>43.6</v>
      </c>
      <c r="H1636">
        <v>304.3</v>
      </c>
      <c r="I1636" t="s">
        <v>16</v>
      </c>
      <c r="J1636">
        <v>1947</v>
      </c>
      <c r="K1636">
        <v>9</v>
      </c>
    </row>
    <row r="1637" spans="1:11">
      <c r="A1637" t="s">
        <v>1684</v>
      </c>
      <c r="B1637" t="s">
        <v>57</v>
      </c>
      <c r="C1637" t="s">
        <v>18</v>
      </c>
      <c r="D1637" t="s">
        <v>38</v>
      </c>
      <c r="E1637" s="1">
        <v>45099</v>
      </c>
      <c r="F1637" s="1">
        <v>45104</v>
      </c>
      <c r="G1637">
        <v>16.100000000000001</v>
      </c>
      <c r="H1637">
        <v>143</v>
      </c>
      <c r="I1637" t="s">
        <v>16</v>
      </c>
      <c r="J1637">
        <v>1074</v>
      </c>
      <c r="K1637">
        <v>5</v>
      </c>
    </row>
    <row r="1638" spans="1:11">
      <c r="A1638" t="s">
        <v>1685</v>
      </c>
      <c r="B1638" t="s">
        <v>31</v>
      </c>
      <c r="C1638" t="s">
        <v>45</v>
      </c>
      <c r="D1638" t="s">
        <v>43</v>
      </c>
      <c r="E1638" s="1">
        <v>45089</v>
      </c>
      <c r="F1638" s="1">
        <v>45092</v>
      </c>
      <c r="G1638">
        <v>21.3</v>
      </c>
      <c r="H1638">
        <v>91.45</v>
      </c>
      <c r="I1638" t="s">
        <v>16</v>
      </c>
      <c r="J1638">
        <v>587</v>
      </c>
      <c r="K1638">
        <v>3</v>
      </c>
    </row>
    <row r="1639" spans="1:11">
      <c r="A1639" t="s">
        <v>1686</v>
      </c>
      <c r="B1639" t="s">
        <v>21</v>
      </c>
      <c r="C1639" t="s">
        <v>25</v>
      </c>
      <c r="D1639" t="s">
        <v>60</v>
      </c>
      <c r="E1639" s="1">
        <v>45007</v>
      </c>
      <c r="F1639" s="1">
        <v>45011</v>
      </c>
      <c r="G1639">
        <v>66.3</v>
      </c>
      <c r="H1639">
        <v>204.27</v>
      </c>
      <c r="I1639" t="s">
        <v>16</v>
      </c>
      <c r="J1639">
        <v>1135</v>
      </c>
      <c r="K1639">
        <v>4</v>
      </c>
    </row>
    <row r="1640" spans="1:11">
      <c r="A1640" t="s">
        <v>1687</v>
      </c>
      <c r="B1640" t="s">
        <v>13</v>
      </c>
      <c r="C1640" t="s">
        <v>18</v>
      </c>
      <c r="D1640" t="s">
        <v>26</v>
      </c>
      <c r="E1640" s="1">
        <v>44978</v>
      </c>
      <c r="F1640" s="1">
        <v>44981</v>
      </c>
      <c r="G1640">
        <v>5.9</v>
      </c>
      <c r="H1640">
        <v>103.51</v>
      </c>
      <c r="I1640" t="s">
        <v>16</v>
      </c>
      <c r="J1640">
        <v>746</v>
      </c>
      <c r="K1640">
        <v>3</v>
      </c>
    </row>
    <row r="1641" spans="1:11">
      <c r="A1641" t="s">
        <v>1688</v>
      </c>
      <c r="B1641" t="s">
        <v>24</v>
      </c>
      <c r="C1641" t="s">
        <v>47</v>
      </c>
      <c r="D1641" t="s">
        <v>60</v>
      </c>
      <c r="E1641" s="1">
        <v>45202</v>
      </c>
      <c r="F1641" s="1">
        <v>45206</v>
      </c>
      <c r="G1641">
        <v>28.9</v>
      </c>
      <c r="H1641">
        <v>227.91</v>
      </c>
      <c r="I1641" t="s">
        <v>61</v>
      </c>
      <c r="J1641">
        <v>1675</v>
      </c>
      <c r="K1641">
        <v>4</v>
      </c>
    </row>
    <row r="1642" spans="1:11">
      <c r="A1642" t="s">
        <v>1689</v>
      </c>
      <c r="B1642" t="s">
        <v>21</v>
      </c>
      <c r="C1642" t="s">
        <v>47</v>
      </c>
      <c r="D1642" t="s">
        <v>60</v>
      </c>
      <c r="E1642" s="1">
        <v>45230</v>
      </c>
      <c r="F1642" s="1">
        <v>45237</v>
      </c>
      <c r="G1642">
        <v>32.4</v>
      </c>
      <c r="H1642">
        <v>226.41</v>
      </c>
      <c r="I1642" t="s">
        <v>16</v>
      </c>
      <c r="J1642">
        <v>1636</v>
      </c>
      <c r="K1642">
        <v>7</v>
      </c>
    </row>
    <row r="1643" spans="1:11">
      <c r="A1643" t="s">
        <v>1690</v>
      </c>
      <c r="B1643" t="s">
        <v>40</v>
      </c>
      <c r="C1643" t="s">
        <v>14</v>
      </c>
      <c r="D1643" t="s">
        <v>60</v>
      </c>
      <c r="E1643" s="1">
        <v>44945</v>
      </c>
      <c r="F1643" s="1">
        <v>44952</v>
      </c>
      <c r="G1643">
        <v>53</v>
      </c>
      <c r="H1643">
        <v>322.97000000000003</v>
      </c>
      <c r="I1643" t="s">
        <v>16</v>
      </c>
      <c r="J1643">
        <v>2490</v>
      </c>
      <c r="K1643">
        <v>7</v>
      </c>
    </row>
    <row r="1644" spans="1:11">
      <c r="A1644" t="s">
        <v>1691</v>
      </c>
      <c r="B1644" t="s">
        <v>13</v>
      </c>
      <c r="C1644" t="s">
        <v>37</v>
      </c>
      <c r="D1644" t="s">
        <v>60</v>
      </c>
      <c r="E1644" s="1">
        <v>45046</v>
      </c>
      <c r="F1644" s="1">
        <v>45059</v>
      </c>
      <c r="G1644">
        <v>37</v>
      </c>
      <c r="H1644">
        <v>211.45</v>
      </c>
      <c r="I1644" t="s">
        <v>48</v>
      </c>
      <c r="J1644">
        <v>1433</v>
      </c>
      <c r="K1644">
        <v>4</v>
      </c>
    </row>
    <row r="1645" spans="1:11">
      <c r="A1645" t="s">
        <v>1692</v>
      </c>
      <c r="B1645" t="s">
        <v>31</v>
      </c>
      <c r="C1645" t="s">
        <v>41</v>
      </c>
      <c r="D1645" t="s">
        <v>26</v>
      </c>
      <c r="E1645" s="1">
        <v>45061</v>
      </c>
      <c r="F1645" s="1">
        <v>45063</v>
      </c>
      <c r="G1645">
        <v>33.799999999999997</v>
      </c>
      <c r="H1645">
        <v>134.61000000000001</v>
      </c>
      <c r="I1645" t="s">
        <v>61</v>
      </c>
      <c r="J1645">
        <v>775</v>
      </c>
      <c r="K1645">
        <v>2</v>
      </c>
    </row>
    <row r="1646" spans="1:11">
      <c r="A1646" t="s">
        <v>1693</v>
      </c>
      <c r="B1646" t="s">
        <v>40</v>
      </c>
      <c r="C1646" t="s">
        <v>14</v>
      </c>
      <c r="D1646" t="s">
        <v>26</v>
      </c>
      <c r="E1646" s="1">
        <v>45160</v>
      </c>
      <c r="F1646" s="1">
        <v>45166</v>
      </c>
      <c r="G1646">
        <v>12.3</v>
      </c>
      <c r="H1646">
        <v>190.39</v>
      </c>
      <c r="I1646" t="s">
        <v>16</v>
      </c>
      <c r="J1646">
        <v>1393</v>
      </c>
      <c r="K1646">
        <v>6</v>
      </c>
    </row>
    <row r="1647" spans="1:11">
      <c r="A1647" t="s">
        <v>1694</v>
      </c>
      <c r="B1647" t="s">
        <v>21</v>
      </c>
      <c r="C1647" t="s">
        <v>71</v>
      </c>
      <c r="D1647" t="s">
        <v>19</v>
      </c>
      <c r="E1647" s="1">
        <v>44959</v>
      </c>
      <c r="F1647" s="1">
        <v>44965</v>
      </c>
      <c r="G1647">
        <v>15.5</v>
      </c>
      <c r="H1647">
        <v>351.5</v>
      </c>
      <c r="I1647" t="s">
        <v>16</v>
      </c>
      <c r="J1647">
        <v>2499</v>
      </c>
      <c r="K1647">
        <v>6</v>
      </c>
    </row>
    <row r="1648" spans="1:11">
      <c r="A1648" t="s">
        <v>1695</v>
      </c>
      <c r="B1648" t="s">
        <v>31</v>
      </c>
      <c r="C1648" t="s">
        <v>53</v>
      </c>
      <c r="D1648" t="s">
        <v>26</v>
      </c>
      <c r="E1648" s="1">
        <v>45071</v>
      </c>
      <c r="F1648" s="1">
        <v>45074</v>
      </c>
      <c r="G1648">
        <v>29.2</v>
      </c>
      <c r="H1648">
        <v>126.94</v>
      </c>
      <c r="I1648" t="s">
        <v>16</v>
      </c>
      <c r="J1648">
        <v>680</v>
      </c>
      <c r="K1648">
        <v>3</v>
      </c>
    </row>
    <row r="1649" spans="1:11">
      <c r="A1649" t="s">
        <v>1696</v>
      </c>
      <c r="B1649" t="s">
        <v>36</v>
      </c>
      <c r="C1649" t="s">
        <v>22</v>
      </c>
      <c r="D1649" t="s">
        <v>19</v>
      </c>
      <c r="E1649" s="1">
        <v>44985</v>
      </c>
      <c r="F1649" s="1">
        <v>44992</v>
      </c>
      <c r="G1649">
        <v>39.9</v>
      </c>
      <c r="H1649">
        <v>36.450000000000003</v>
      </c>
      <c r="I1649" t="s">
        <v>48</v>
      </c>
      <c r="J1649">
        <v>2190</v>
      </c>
      <c r="K1649">
        <v>6</v>
      </c>
    </row>
    <row r="1650" spans="1:11">
      <c r="A1650" t="s">
        <v>1697</v>
      </c>
      <c r="B1650" t="s">
        <v>21</v>
      </c>
      <c r="C1650" t="s">
        <v>71</v>
      </c>
      <c r="D1650" t="s">
        <v>19</v>
      </c>
      <c r="E1650" s="1">
        <v>45134</v>
      </c>
      <c r="F1650" s="1">
        <v>45140</v>
      </c>
      <c r="G1650">
        <v>24.6</v>
      </c>
      <c r="H1650">
        <v>295.52</v>
      </c>
      <c r="I1650" t="s">
        <v>16</v>
      </c>
      <c r="J1650">
        <v>1899</v>
      </c>
      <c r="K1650">
        <v>6</v>
      </c>
    </row>
    <row r="1651" spans="1:11">
      <c r="A1651" t="s">
        <v>1698</v>
      </c>
      <c r="B1651" t="s">
        <v>31</v>
      </c>
      <c r="C1651" t="s">
        <v>53</v>
      </c>
      <c r="D1651" t="s">
        <v>33</v>
      </c>
      <c r="E1651" s="1">
        <v>44979</v>
      </c>
      <c r="F1651" s="1">
        <v>44984</v>
      </c>
      <c r="G1651">
        <v>27.4</v>
      </c>
      <c r="H1651">
        <v>336.51</v>
      </c>
      <c r="I1651" t="s">
        <v>16</v>
      </c>
      <c r="J1651">
        <v>2166</v>
      </c>
      <c r="K1651">
        <v>5</v>
      </c>
    </row>
    <row r="1652" spans="1:11">
      <c r="A1652" t="s">
        <v>1699</v>
      </c>
      <c r="B1652" t="s">
        <v>36</v>
      </c>
      <c r="C1652" t="s">
        <v>29</v>
      </c>
      <c r="D1652" t="s">
        <v>26</v>
      </c>
      <c r="E1652" s="1">
        <v>45165</v>
      </c>
      <c r="F1652" s="1">
        <v>45168</v>
      </c>
      <c r="G1652">
        <v>9.9</v>
      </c>
      <c r="H1652">
        <v>67.66</v>
      </c>
      <c r="I1652" t="s">
        <v>16</v>
      </c>
      <c r="J1652">
        <v>520</v>
      </c>
      <c r="K1652">
        <v>3</v>
      </c>
    </row>
    <row r="1653" spans="1:11">
      <c r="A1653" t="s">
        <v>1700</v>
      </c>
      <c r="B1653" t="s">
        <v>57</v>
      </c>
      <c r="C1653" t="s">
        <v>32</v>
      </c>
      <c r="D1653" t="s">
        <v>38</v>
      </c>
      <c r="E1653" s="1">
        <v>44956</v>
      </c>
      <c r="F1653" s="1">
        <v>44958</v>
      </c>
      <c r="G1653">
        <v>16.2</v>
      </c>
      <c r="H1653">
        <v>106.95</v>
      </c>
      <c r="I1653" t="s">
        <v>16</v>
      </c>
      <c r="J1653">
        <v>715</v>
      </c>
      <c r="K1653">
        <v>2</v>
      </c>
    </row>
    <row r="1654" spans="1:11">
      <c r="A1654" t="s">
        <v>1701</v>
      </c>
      <c r="B1654" t="s">
        <v>31</v>
      </c>
      <c r="C1654" t="s">
        <v>29</v>
      </c>
      <c r="D1654" t="s">
        <v>43</v>
      </c>
      <c r="E1654" s="1">
        <v>45219</v>
      </c>
      <c r="F1654" s="1">
        <v>45224</v>
      </c>
      <c r="G1654">
        <v>27.9</v>
      </c>
      <c r="H1654">
        <v>261.5</v>
      </c>
      <c r="I1654" t="s">
        <v>63</v>
      </c>
      <c r="J1654">
        <v>1773</v>
      </c>
      <c r="K1654">
        <v>5</v>
      </c>
    </row>
    <row r="1655" spans="1:11">
      <c r="A1655" t="s">
        <v>1702</v>
      </c>
      <c r="B1655" t="s">
        <v>50</v>
      </c>
      <c r="C1655" t="s">
        <v>41</v>
      </c>
      <c r="D1655" t="s">
        <v>19</v>
      </c>
      <c r="E1655" s="1">
        <v>45061</v>
      </c>
      <c r="F1655" s="1">
        <v>45063</v>
      </c>
      <c r="G1655">
        <v>16.2</v>
      </c>
      <c r="H1655">
        <v>75.069999999999993</v>
      </c>
      <c r="I1655" t="s">
        <v>16</v>
      </c>
      <c r="J1655">
        <v>369</v>
      </c>
      <c r="K1655">
        <v>2</v>
      </c>
    </row>
    <row r="1656" spans="1:11">
      <c r="A1656" t="s">
        <v>1703</v>
      </c>
      <c r="B1656" t="s">
        <v>52</v>
      </c>
      <c r="C1656" t="s">
        <v>71</v>
      </c>
      <c r="D1656" t="s">
        <v>33</v>
      </c>
      <c r="E1656" s="1">
        <v>45156</v>
      </c>
      <c r="F1656" s="1">
        <v>45158</v>
      </c>
      <c r="G1656">
        <v>5.3</v>
      </c>
      <c r="H1656">
        <v>107.55</v>
      </c>
      <c r="I1656" t="s">
        <v>16</v>
      </c>
      <c r="J1656">
        <v>846</v>
      </c>
      <c r="K1656">
        <v>2</v>
      </c>
    </row>
    <row r="1657" spans="1:11">
      <c r="A1657" t="s">
        <v>1704</v>
      </c>
      <c r="B1657" t="s">
        <v>21</v>
      </c>
      <c r="C1657" t="s">
        <v>47</v>
      </c>
      <c r="D1657" t="s">
        <v>38</v>
      </c>
      <c r="E1657" s="1">
        <v>45167</v>
      </c>
      <c r="F1657" s="1">
        <v>45170</v>
      </c>
      <c r="G1657">
        <v>23.7</v>
      </c>
      <c r="H1657">
        <v>137.37</v>
      </c>
      <c r="I1657" t="s">
        <v>16</v>
      </c>
      <c r="J1657">
        <v>905</v>
      </c>
      <c r="K1657">
        <v>3</v>
      </c>
    </row>
    <row r="1658" spans="1:11">
      <c r="A1658" t="s">
        <v>1705</v>
      </c>
      <c r="B1658" t="s">
        <v>24</v>
      </c>
      <c r="C1658" t="s">
        <v>71</v>
      </c>
      <c r="D1658" t="s">
        <v>19</v>
      </c>
      <c r="E1658" s="1">
        <v>45262</v>
      </c>
      <c r="F1658" s="1">
        <v>45264</v>
      </c>
      <c r="G1658">
        <v>5.6</v>
      </c>
      <c r="H1658">
        <v>36.1</v>
      </c>
      <c r="I1658" t="s">
        <v>16</v>
      </c>
      <c r="J1658">
        <v>171</v>
      </c>
      <c r="K1658">
        <v>2</v>
      </c>
    </row>
    <row r="1659" spans="1:11">
      <c r="A1659" t="s">
        <v>1706</v>
      </c>
      <c r="B1659" t="s">
        <v>13</v>
      </c>
      <c r="C1659" t="s">
        <v>58</v>
      </c>
      <c r="D1659" t="s">
        <v>19</v>
      </c>
      <c r="E1659" s="1">
        <v>44975</v>
      </c>
      <c r="F1659" s="1">
        <v>44981</v>
      </c>
      <c r="G1659">
        <v>8.9</v>
      </c>
      <c r="H1659">
        <v>296.47000000000003</v>
      </c>
      <c r="I1659" t="s">
        <v>16</v>
      </c>
      <c r="J1659">
        <v>2222</v>
      </c>
      <c r="K1659">
        <v>6</v>
      </c>
    </row>
    <row r="1660" spans="1:11">
      <c r="A1660" t="s">
        <v>1707</v>
      </c>
      <c r="B1660" t="s">
        <v>50</v>
      </c>
      <c r="C1660" t="s">
        <v>55</v>
      </c>
      <c r="D1660" t="s">
        <v>33</v>
      </c>
      <c r="E1660" s="1">
        <v>44965</v>
      </c>
      <c r="F1660" s="1">
        <v>44971</v>
      </c>
      <c r="G1660">
        <v>27.2</v>
      </c>
      <c r="H1660">
        <v>375.67</v>
      </c>
      <c r="I1660" t="s">
        <v>16</v>
      </c>
      <c r="J1660">
        <v>2462</v>
      </c>
      <c r="K1660">
        <v>6</v>
      </c>
    </row>
    <row r="1661" spans="1:11">
      <c r="A1661" t="s">
        <v>1708</v>
      </c>
      <c r="B1661" t="s">
        <v>31</v>
      </c>
      <c r="C1661" t="s">
        <v>58</v>
      </c>
      <c r="D1661" t="s">
        <v>26</v>
      </c>
      <c r="E1661" s="1">
        <v>45113</v>
      </c>
      <c r="F1661" s="1">
        <v>45118</v>
      </c>
      <c r="G1661">
        <v>9.6999999999999993</v>
      </c>
      <c r="H1661">
        <v>191.62</v>
      </c>
      <c r="I1661" t="s">
        <v>16</v>
      </c>
      <c r="J1661">
        <v>1529</v>
      </c>
      <c r="K1661">
        <v>5</v>
      </c>
    </row>
    <row r="1662" spans="1:11">
      <c r="A1662" t="s">
        <v>1709</v>
      </c>
      <c r="B1662" t="s">
        <v>24</v>
      </c>
      <c r="C1662" t="s">
        <v>55</v>
      </c>
      <c r="D1662" t="s">
        <v>15</v>
      </c>
      <c r="E1662" s="1">
        <v>45046</v>
      </c>
      <c r="F1662" s="1">
        <v>45051</v>
      </c>
      <c r="G1662">
        <v>3</v>
      </c>
      <c r="H1662">
        <v>237.95</v>
      </c>
      <c r="I1662" t="s">
        <v>16</v>
      </c>
      <c r="J1662">
        <v>1912</v>
      </c>
      <c r="K1662">
        <v>5</v>
      </c>
    </row>
    <row r="1663" spans="1:11">
      <c r="A1663" t="s">
        <v>1710</v>
      </c>
      <c r="B1663" t="s">
        <v>21</v>
      </c>
      <c r="C1663" t="s">
        <v>32</v>
      </c>
      <c r="D1663" t="s">
        <v>43</v>
      </c>
      <c r="E1663" s="1">
        <v>45277</v>
      </c>
      <c r="F1663" s="1">
        <v>45280</v>
      </c>
      <c r="G1663">
        <v>60.3</v>
      </c>
      <c r="H1663">
        <v>272.77999999999997</v>
      </c>
      <c r="I1663" t="s">
        <v>16</v>
      </c>
      <c r="J1663">
        <v>1194</v>
      </c>
      <c r="K1663">
        <v>3</v>
      </c>
    </row>
    <row r="1664" spans="1:11">
      <c r="A1664" t="s">
        <v>1711</v>
      </c>
      <c r="B1664" t="s">
        <v>36</v>
      </c>
      <c r="C1664" t="s">
        <v>41</v>
      </c>
      <c r="D1664" t="s">
        <v>15</v>
      </c>
      <c r="E1664" s="1">
        <v>45269</v>
      </c>
      <c r="F1664" s="1">
        <v>45280</v>
      </c>
      <c r="G1664">
        <v>10.3</v>
      </c>
      <c r="I1664" t="s">
        <v>48</v>
      </c>
      <c r="J1664">
        <v>283</v>
      </c>
      <c r="K1664">
        <v>1</v>
      </c>
    </row>
    <row r="1665" spans="1:11">
      <c r="A1665" t="s">
        <v>1712</v>
      </c>
      <c r="B1665" t="s">
        <v>28</v>
      </c>
      <c r="C1665" t="s">
        <v>37</v>
      </c>
      <c r="D1665" t="s">
        <v>43</v>
      </c>
      <c r="E1665" s="1">
        <v>45088</v>
      </c>
      <c r="F1665" s="1">
        <v>45094</v>
      </c>
      <c r="G1665">
        <v>34.299999999999997</v>
      </c>
      <c r="H1665">
        <v>296.22000000000003</v>
      </c>
      <c r="I1665" t="s">
        <v>16</v>
      </c>
      <c r="J1665">
        <v>1916</v>
      </c>
      <c r="K1665">
        <v>6</v>
      </c>
    </row>
    <row r="1666" spans="1:11">
      <c r="A1666" t="s">
        <v>1713</v>
      </c>
      <c r="B1666" t="s">
        <v>13</v>
      </c>
      <c r="C1666" t="s">
        <v>82</v>
      </c>
      <c r="D1666" t="s">
        <v>15</v>
      </c>
      <c r="E1666" s="1">
        <v>45024</v>
      </c>
      <c r="F1666" s="1">
        <v>45029</v>
      </c>
      <c r="G1666">
        <v>34.200000000000003</v>
      </c>
      <c r="H1666">
        <v>113.11</v>
      </c>
      <c r="I1666" t="s">
        <v>16</v>
      </c>
      <c r="J1666">
        <v>504</v>
      </c>
      <c r="K1666">
        <v>5</v>
      </c>
    </row>
    <row r="1667" spans="1:11">
      <c r="A1667" t="s">
        <v>1714</v>
      </c>
      <c r="B1667" t="s">
        <v>50</v>
      </c>
      <c r="C1667" t="s">
        <v>45</v>
      </c>
      <c r="D1667" t="s">
        <v>38</v>
      </c>
      <c r="E1667" s="1">
        <v>45139</v>
      </c>
      <c r="F1667" s="1">
        <v>45147</v>
      </c>
      <c r="G1667">
        <v>70.5</v>
      </c>
      <c r="H1667">
        <v>367.67</v>
      </c>
      <c r="I1667" t="s">
        <v>16</v>
      </c>
      <c r="J1667">
        <v>2442</v>
      </c>
      <c r="K1667">
        <v>8</v>
      </c>
    </row>
    <row r="1668" spans="1:11">
      <c r="A1668" t="s">
        <v>1715</v>
      </c>
      <c r="B1668" t="s">
        <v>21</v>
      </c>
      <c r="C1668" t="s">
        <v>25</v>
      </c>
      <c r="D1668" t="s">
        <v>43</v>
      </c>
      <c r="E1668" s="1">
        <v>45012</v>
      </c>
      <c r="F1668" s="1">
        <v>45017</v>
      </c>
      <c r="G1668">
        <v>13.1</v>
      </c>
      <c r="H1668">
        <v>162.21</v>
      </c>
      <c r="I1668" t="s">
        <v>16</v>
      </c>
      <c r="J1668">
        <v>1135</v>
      </c>
      <c r="K1668">
        <v>5</v>
      </c>
    </row>
    <row r="1669" spans="1:11">
      <c r="A1669" t="s">
        <v>1716</v>
      </c>
      <c r="B1669" t="s">
        <v>36</v>
      </c>
      <c r="C1669" t="s">
        <v>53</v>
      </c>
      <c r="D1669" t="s">
        <v>43</v>
      </c>
      <c r="E1669" s="1">
        <v>45229</v>
      </c>
      <c r="F1669" s="1">
        <v>45234</v>
      </c>
      <c r="G1669">
        <v>26.5</v>
      </c>
      <c r="H1669">
        <v>254.13</v>
      </c>
      <c r="I1669" t="s">
        <v>16</v>
      </c>
      <c r="J1669">
        <v>1815</v>
      </c>
      <c r="K1669">
        <v>5</v>
      </c>
    </row>
    <row r="1670" spans="1:11">
      <c r="A1670" t="s">
        <v>1717</v>
      </c>
      <c r="B1670" t="s">
        <v>57</v>
      </c>
      <c r="C1670" t="s">
        <v>82</v>
      </c>
      <c r="D1670" t="s">
        <v>33</v>
      </c>
      <c r="E1670" s="1">
        <v>45287</v>
      </c>
      <c r="F1670" s="1">
        <v>45290</v>
      </c>
      <c r="G1670">
        <v>13.6</v>
      </c>
      <c r="H1670">
        <v>166.26</v>
      </c>
      <c r="I1670" t="s">
        <v>63</v>
      </c>
      <c r="J1670">
        <v>834</v>
      </c>
      <c r="K1670">
        <v>3</v>
      </c>
    </row>
    <row r="1671" spans="1:11">
      <c r="A1671" t="s">
        <v>1718</v>
      </c>
      <c r="B1671" t="s">
        <v>31</v>
      </c>
      <c r="C1671" t="s">
        <v>25</v>
      </c>
      <c r="D1671" t="s">
        <v>19</v>
      </c>
      <c r="E1671" s="1">
        <v>45257</v>
      </c>
      <c r="F1671" s="1">
        <v>45260</v>
      </c>
      <c r="G1671">
        <v>18.600000000000001</v>
      </c>
      <c r="H1671">
        <v>202.15</v>
      </c>
      <c r="I1671" t="s">
        <v>16</v>
      </c>
      <c r="J1671">
        <v>997</v>
      </c>
      <c r="K1671">
        <v>3</v>
      </c>
    </row>
    <row r="1672" spans="1:11">
      <c r="A1672" t="s">
        <v>1719</v>
      </c>
      <c r="B1672" t="s">
        <v>21</v>
      </c>
      <c r="C1672" t="s">
        <v>53</v>
      </c>
      <c r="D1672" t="s">
        <v>38</v>
      </c>
      <c r="E1672" s="1">
        <v>44984</v>
      </c>
      <c r="F1672" s="1">
        <v>44986</v>
      </c>
      <c r="G1672">
        <v>32.6</v>
      </c>
      <c r="H1672">
        <v>89.42</v>
      </c>
      <c r="I1672" t="s">
        <v>16</v>
      </c>
      <c r="J1672">
        <v>373</v>
      </c>
      <c r="K1672">
        <v>2</v>
      </c>
    </row>
    <row r="1673" spans="1:11">
      <c r="A1673" t="s">
        <v>1720</v>
      </c>
      <c r="B1673" t="s">
        <v>13</v>
      </c>
      <c r="C1673" t="s">
        <v>45</v>
      </c>
      <c r="D1673" t="s">
        <v>33</v>
      </c>
      <c r="E1673" s="1">
        <v>45266</v>
      </c>
      <c r="F1673" s="1">
        <v>45273</v>
      </c>
      <c r="G1673">
        <v>9</v>
      </c>
      <c r="H1673">
        <v>352.78</v>
      </c>
      <c r="I1673" t="s">
        <v>16</v>
      </c>
      <c r="J1673">
        <v>1993</v>
      </c>
      <c r="K1673">
        <v>7</v>
      </c>
    </row>
    <row r="1674" spans="1:11">
      <c r="A1674" t="s">
        <v>1721</v>
      </c>
      <c r="B1674" t="s">
        <v>52</v>
      </c>
      <c r="C1674" t="s">
        <v>14</v>
      </c>
      <c r="D1674" t="s">
        <v>43</v>
      </c>
      <c r="E1674" s="1">
        <v>45051</v>
      </c>
      <c r="F1674" s="1">
        <v>45058</v>
      </c>
      <c r="G1674">
        <v>19.399999999999999</v>
      </c>
      <c r="H1674">
        <v>322.16000000000003</v>
      </c>
      <c r="I1674" t="s">
        <v>16</v>
      </c>
      <c r="J1674">
        <v>2423</v>
      </c>
      <c r="K1674">
        <v>7</v>
      </c>
    </row>
    <row r="1675" spans="1:11">
      <c r="A1675" t="s">
        <v>1722</v>
      </c>
      <c r="B1675" t="s">
        <v>24</v>
      </c>
      <c r="C1675" t="s">
        <v>29</v>
      </c>
      <c r="D1675" t="s">
        <v>43</v>
      </c>
      <c r="E1675" s="1">
        <v>45069</v>
      </c>
      <c r="F1675" s="1">
        <v>45073</v>
      </c>
      <c r="G1675">
        <v>4.7</v>
      </c>
      <c r="H1675">
        <v>228.78</v>
      </c>
      <c r="I1675" t="s">
        <v>16</v>
      </c>
      <c r="J1675">
        <v>1732</v>
      </c>
      <c r="K1675">
        <v>4</v>
      </c>
    </row>
    <row r="1676" spans="1:11">
      <c r="A1676" t="s">
        <v>1723</v>
      </c>
      <c r="B1676" t="s">
        <v>13</v>
      </c>
      <c r="C1676" t="s">
        <v>37</v>
      </c>
      <c r="D1676" t="s">
        <v>60</v>
      </c>
      <c r="E1676" s="1">
        <v>45106</v>
      </c>
      <c r="F1676" s="1">
        <v>45108</v>
      </c>
      <c r="G1676">
        <v>15.9</v>
      </c>
      <c r="H1676">
        <v>119.24</v>
      </c>
      <c r="I1676" t="s">
        <v>16</v>
      </c>
      <c r="J1676">
        <v>928</v>
      </c>
      <c r="K1676">
        <v>2</v>
      </c>
    </row>
    <row r="1677" spans="1:11">
      <c r="A1677" t="s">
        <v>1724</v>
      </c>
      <c r="B1677" t="s">
        <v>50</v>
      </c>
      <c r="C1677" t="s">
        <v>41</v>
      </c>
      <c r="D1677" t="s">
        <v>33</v>
      </c>
      <c r="E1677" s="1">
        <v>45022</v>
      </c>
      <c r="F1677" s="1">
        <v>45026</v>
      </c>
      <c r="G1677">
        <v>16</v>
      </c>
      <c r="H1677">
        <v>220.43</v>
      </c>
      <c r="I1677" t="s">
        <v>16</v>
      </c>
      <c r="J1677">
        <v>1521</v>
      </c>
      <c r="K1677">
        <v>4</v>
      </c>
    </row>
    <row r="1678" spans="1:11">
      <c r="A1678" t="s">
        <v>1725</v>
      </c>
      <c r="B1678" t="s">
        <v>31</v>
      </c>
      <c r="C1678" t="s">
        <v>41</v>
      </c>
      <c r="D1678" t="s">
        <v>38</v>
      </c>
      <c r="E1678" s="1">
        <v>45143</v>
      </c>
      <c r="F1678" s="1">
        <v>45150</v>
      </c>
      <c r="G1678">
        <v>11.4</v>
      </c>
      <c r="H1678">
        <v>263.33999999999997</v>
      </c>
      <c r="I1678" t="s">
        <v>16</v>
      </c>
      <c r="J1678">
        <v>2178</v>
      </c>
      <c r="K1678">
        <v>7</v>
      </c>
    </row>
    <row r="1679" spans="1:11">
      <c r="A1679" t="s">
        <v>1726</v>
      </c>
      <c r="B1679" t="s">
        <v>40</v>
      </c>
      <c r="C1679" t="s">
        <v>18</v>
      </c>
      <c r="D1679" t="s">
        <v>26</v>
      </c>
      <c r="E1679" s="1">
        <v>45080</v>
      </c>
      <c r="F1679" s="1">
        <v>45094</v>
      </c>
      <c r="G1679">
        <v>43.6</v>
      </c>
      <c r="H1679">
        <v>155.15</v>
      </c>
      <c r="I1679" t="s">
        <v>48</v>
      </c>
      <c r="J1679">
        <v>800</v>
      </c>
      <c r="K1679">
        <v>4</v>
      </c>
    </row>
    <row r="1680" spans="1:11">
      <c r="A1680" t="s">
        <v>1727</v>
      </c>
      <c r="B1680" t="s">
        <v>57</v>
      </c>
      <c r="C1680" t="s">
        <v>47</v>
      </c>
      <c r="D1680" t="s">
        <v>43</v>
      </c>
      <c r="E1680" s="1">
        <v>45161</v>
      </c>
      <c r="F1680" s="1">
        <v>45166</v>
      </c>
      <c r="G1680">
        <v>45.5</v>
      </c>
      <c r="H1680">
        <v>293.95</v>
      </c>
      <c r="I1680" t="s">
        <v>16</v>
      </c>
      <c r="J1680">
        <v>2201</v>
      </c>
      <c r="K1680">
        <v>5</v>
      </c>
    </row>
    <row r="1681" spans="1:11">
      <c r="A1681" t="s">
        <v>1728</v>
      </c>
      <c r="B1681" t="s">
        <v>28</v>
      </c>
      <c r="C1681" t="s">
        <v>53</v>
      </c>
      <c r="D1681" t="s">
        <v>60</v>
      </c>
      <c r="E1681" s="1">
        <v>45063</v>
      </c>
      <c r="F1681" s="1">
        <v>45064</v>
      </c>
      <c r="G1681">
        <v>18.3</v>
      </c>
      <c r="H1681">
        <v>31.27</v>
      </c>
      <c r="I1681" t="s">
        <v>16</v>
      </c>
      <c r="J1681">
        <v>117</v>
      </c>
      <c r="K1681">
        <v>1</v>
      </c>
    </row>
    <row r="1682" spans="1:11">
      <c r="A1682" t="s">
        <v>1729</v>
      </c>
      <c r="B1682" t="s">
        <v>31</v>
      </c>
      <c r="C1682" t="s">
        <v>47</v>
      </c>
      <c r="D1682" t="s">
        <v>19</v>
      </c>
      <c r="E1682" s="1">
        <v>45092</v>
      </c>
      <c r="F1682" s="1">
        <v>45097</v>
      </c>
      <c r="G1682">
        <v>29.2</v>
      </c>
      <c r="H1682">
        <v>280.92</v>
      </c>
      <c r="I1682" t="s">
        <v>16</v>
      </c>
      <c r="J1682">
        <v>1739</v>
      </c>
      <c r="K1682">
        <v>5</v>
      </c>
    </row>
    <row r="1683" spans="1:11">
      <c r="A1683" t="s">
        <v>1730</v>
      </c>
      <c r="B1683" t="s">
        <v>13</v>
      </c>
      <c r="C1683" t="s">
        <v>18</v>
      </c>
      <c r="D1683" t="s">
        <v>33</v>
      </c>
      <c r="E1683" s="1">
        <v>45021</v>
      </c>
      <c r="F1683" s="1">
        <v>45037</v>
      </c>
      <c r="G1683">
        <v>81.900000000000006</v>
      </c>
      <c r="H1683">
        <v>247.05</v>
      </c>
      <c r="I1683" t="s">
        <v>48</v>
      </c>
      <c r="J1683">
        <v>1123</v>
      </c>
      <c r="K1683">
        <v>3</v>
      </c>
    </row>
    <row r="1684" spans="1:11">
      <c r="A1684" t="s">
        <v>1731</v>
      </c>
      <c r="B1684" t="s">
        <v>28</v>
      </c>
      <c r="C1684" t="s">
        <v>45</v>
      </c>
      <c r="D1684" t="s">
        <v>43</v>
      </c>
      <c r="E1684" s="1">
        <v>45032</v>
      </c>
      <c r="F1684" s="1">
        <v>45033</v>
      </c>
      <c r="G1684">
        <v>43.5</v>
      </c>
      <c r="H1684">
        <v>111.47</v>
      </c>
      <c r="I1684" t="s">
        <v>16</v>
      </c>
      <c r="J1684">
        <v>421</v>
      </c>
      <c r="K1684">
        <v>1</v>
      </c>
    </row>
    <row r="1685" spans="1:11">
      <c r="A1685" t="s">
        <v>1732</v>
      </c>
      <c r="B1685" t="s">
        <v>28</v>
      </c>
      <c r="C1685" t="s">
        <v>25</v>
      </c>
      <c r="D1685" t="s">
        <v>15</v>
      </c>
      <c r="E1685" s="1">
        <v>44970</v>
      </c>
      <c r="F1685" s="1">
        <v>44976</v>
      </c>
      <c r="G1685">
        <v>12.5</v>
      </c>
      <c r="H1685">
        <v>119.12</v>
      </c>
      <c r="I1685" t="s">
        <v>16</v>
      </c>
      <c r="J1685">
        <v>916</v>
      </c>
      <c r="K1685">
        <v>6</v>
      </c>
    </row>
    <row r="1686" spans="1:11">
      <c r="A1686" t="s">
        <v>1733</v>
      </c>
      <c r="B1686" t="s">
        <v>52</v>
      </c>
      <c r="C1686" t="s">
        <v>14</v>
      </c>
      <c r="D1686" t="s">
        <v>60</v>
      </c>
      <c r="E1686" s="1">
        <v>45066</v>
      </c>
      <c r="F1686" s="1">
        <v>45072</v>
      </c>
      <c r="G1686">
        <v>21.5</v>
      </c>
      <c r="H1686">
        <v>271.82</v>
      </c>
      <c r="I1686" t="s">
        <v>16</v>
      </c>
      <c r="J1686">
        <v>2202</v>
      </c>
      <c r="K1686">
        <v>6</v>
      </c>
    </row>
    <row r="1687" spans="1:11">
      <c r="A1687" t="s">
        <v>1734</v>
      </c>
      <c r="B1687" t="s">
        <v>52</v>
      </c>
      <c r="C1687" t="s">
        <v>47</v>
      </c>
      <c r="D1687" t="s">
        <v>26</v>
      </c>
      <c r="E1687" s="1">
        <v>45169</v>
      </c>
      <c r="F1687" s="1">
        <v>45171</v>
      </c>
      <c r="G1687">
        <v>19</v>
      </c>
      <c r="H1687">
        <v>46.94</v>
      </c>
      <c r="I1687" t="s">
        <v>16</v>
      </c>
      <c r="J1687">
        <v>215</v>
      </c>
      <c r="K1687">
        <v>2</v>
      </c>
    </row>
    <row r="1688" spans="1:11">
      <c r="A1688" t="s">
        <v>1735</v>
      </c>
      <c r="B1688" t="s">
        <v>50</v>
      </c>
      <c r="C1688" t="s">
        <v>25</v>
      </c>
      <c r="D1688" t="s">
        <v>26</v>
      </c>
      <c r="E1688" s="1">
        <v>45254</v>
      </c>
      <c r="F1688" s="1">
        <v>45257</v>
      </c>
      <c r="G1688">
        <v>53.8</v>
      </c>
      <c r="H1688">
        <v>121.01</v>
      </c>
      <c r="I1688" t="s">
        <v>16</v>
      </c>
      <c r="J1688">
        <v>371</v>
      </c>
      <c r="K1688">
        <v>3</v>
      </c>
    </row>
    <row r="1689" spans="1:11">
      <c r="A1689" t="s">
        <v>1736</v>
      </c>
      <c r="B1689" t="s">
        <v>28</v>
      </c>
      <c r="C1689" t="s">
        <v>25</v>
      </c>
      <c r="D1689" t="s">
        <v>38</v>
      </c>
      <c r="E1689" s="1">
        <v>45001</v>
      </c>
      <c r="F1689" s="1">
        <v>45015</v>
      </c>
      <c r="G1689">
        <v>21.6</v>
      </c>
      <c r="H1689">
        <v>73.319999999999993</v>
      </c>
      <c r="I1689" t="s">
        <v>48</v>
      </c>
      <c r="J1689">
        <v>378</v>
      </c>
      <c r="K1689">
        <v>3</v>
      </c>
    </row>
    <row r="1690" spans="1:11">
      <c r="A1690" t="s">
        <v>1737</v>
      </c>
      <c r="B1690" t="s">
        <v>50</v>
      </c>
      <c r="C1690" t="s">
        <v>45</v>
      </c>
      <c r="D1690" t="s">
        <v>33</v>
      </c>
      <c r="E1690" s="1">
        <v>45192</v>
      </c>
      <c r="F1690" s="1">
        <v>45200</v>
      </c>
      <c r="G1690">
        <v>14.8</v>
      </c>
      <c r="H1690">
        <v>215.86</v>
      </c>
      <c r="I1690" t="s">
        <v>16</v>
      </c>
      <c r="J1690">
        <v>1456</v>
      </c>
      <c r="K1690">
        <v>8</v>
      </c>
    </row>
    <row r="1691" spans="1:11">
      <c r="A1691" t="s">
        <v>1738</v>
      </c>
      <c r="B1691" t="s">
        <v>21</v>
      </c>
      <c r="C1691" t="s">
        <v>45</v>
      </c>
      <c r="D1691" t="s">
        <v>33</v>
      </c>
      <c r="E1691" s="1">
        <v>45207</v>
      </c>
      <c r="F1691" s="1">
        <v>45217</v>
      </c>
      <c r="G1691">
        <v>10.7</v>
      </c>
      <c r="H1691">
        <v>170.69</v>
      </c>
      <c r="I1691" t="s">
        <v>48</v>
      </c>
      <c r="J1691">
        <v>1114</v>
      </c>
      <c r="K1691">
        <v>3</v>
      </c>
    </row>
    <row r="1692" spans="1:11">
      <c r="A1692" t="s">
        <v>1739</v>
      </c>
      <c r="B1692" t="s">
        <v>57</v>
      </c>
      <c r="C1692" t="s">
        <v>37</v>
      </c>
      <c r="D1692" t="s">
        <v>15</v>
      </c>
      <c r="E1692" s="1">
        <v>45093</v>
      </c>
      <c r="F1692" s="1">
        <v>45097</v>
      </c>
      <c r="G1692">
        <v>42</v>
      </c>
      <c r="H1692">
        <v>218.32</v>
      </c>
      <c r="I1692" t="s">
        <v>16</v>
      </c>
      <c r="J1692">
        <v>1417</v>
      </c>
      <c r="K1692">
        <v>4</v>
      </c>
    </row>
    <row r="1693" spans="1:11">
      <c r="A1693" t="s">
        <v>1740</v>
      </c>
      <c r="B1693" t="s">
        <v>50</v>
      </c>
      <c r="C1693" t="s">
        <v>22</v>
      </c>
      <c r="D1693" t="s">
        <v>19</v>
      </c>
      <c r="E1693" s="1">
        <v>45051</v>
      </c>
      <c r="F1693" s="1">
        <v>45056</v>
      </c>
      <c r="G1693">
        <v>19</v>
      </c>
      <c r="H1693">
        <v>224.15</v>
      </c>
      <c r="I1693" t="s">
        <v>16</v>
      </c>
      <c r="J1693">
        <v>1402</v>
      </c>
      <c r="K1693">
        <v>5</v>
      </c>
    </row>
    <row r="1694" spans="1:11">
      <c r="A1694" t="s">
        <v>1741</v>
      </c>
      <c r="B1694" t="s">
        <v>21</v>
      </c>
      <c r="C1694" t="s">
        <v>18</v>
      </c>
      <c r="D1694" t="s">
        <v>19</v>
      </c>
      <c r="E1694" s="1">
        <v>45010</v>
      </c>
      <c r="F1694" s="1">
        <v>45011</v>
      </c>
      <c r="G1694">
        <v>18.399999999999999</v>
      </c>
      <c r="H1694">
        <v>46.71</v>
      </c>
      <c r="I1694" t="s">
        <v>16</v>
      </c>
      <c r="J1694">
        <v>178</v>
      </c>
      <c r="K1694">
        <v>1</v>
      </c>
    </row>
    <row r="1695" spans="1:11">
      <c r="A1695" t="s">
        <v>1742</v>
      </c>
      <c r="B1695" t="s">
        <v>57</v>
      </c>
      <c r="C1695" t="s">
        <v>22</v>
      </c>
      <c r="D1695" t="s">
        <v>15</v>
      </c>
      <c r="E1695" s="1">
        <v>44955</v>
      </c>
      <c r="F1695" s="1">
        <v>44960</v>
      </c>
      <c r="G1695">
        <v>16</v>
      </c>
      <c r="H1695">
        <v>205.32</v>
      </c>
      <c r="I1695" t="s">
        <v>16</v>
      </c>
      <c r="J1695">
        <v>1575</v>
      </c>
      <c r="K1695">
        <v>5</v>
      </c>
    </row>
    <row r="1696" spans="1:11">
      <c r="A1696" t="s">
        <v>1743</v>
      </c>
      <c r="B1696" t="s">
        <v>52</v>
      </c>
      <c r="C1696" t="s">
        <v>18</v>
      </c>
      <c r="D1696" t="s">
        <v>60</v>
      </c>
      <c r="E1696" s="1">
        <v>45192</v>
      </c>
      <c r="F1696" s="1">
        <v>45199</v>
      </c>
      <c r="G1696">
        <v>13.9</v>
      </c>
      <c r="H1696">
        <v>107.12</v>
      </c>
      <c r="I1696" t="s">
        <v>16</v>
      </c>
      <c r="J1696">
        <v>870</v>
      </c>
      <c r="K1696">
        <v>7</v>
      </c>
    </row>
    <row r="1697" spans="1:11">
      <c r="A1697" t="s">
        <v>1744</v>
      </c>
      <c r="B1697" t="s">
        <v>31</v>
      </c>
      <c r="C1697" t="s">
        <v>37</v>
      </c>
      <c r="D1697" t="s">
        <v>38</v>
      </c>
      <c r="E1697" s="1">
        <v>45022</v>
      </c>
      <c r="F1697" s="1">
        <v>45029</v>
      </c>
      <c r="G1697">
        <v>6.3</v>
      </c>
      <c r="H1697">
        <v>258.52</v>
      </c>
      <c r="I1697" t="s">
        <v>16</v>
      </c>
      <c r="J1697">
        <v>1995</v>
      </c>
      <c r="K1697">
        <v>7</v>
      </c>
    </row>
    <row r="1698" spans="1:11">
      <c r="A1698" t="s">
        <v>1745</v>
      </c>
      <c r="B1698" t="s">
        <v>57</v>
      </c>
      <c r="C1698" t="s">
        <v>37</v>
      </c>
      <c r="D1698" t="s">
        <v>60</v>
      </c>
      <c r="E1698" s="1">
        <v>44953</v>
      </c>
      <c r="F1698" s="1">
        <v>44955</v>
      </c>
      <c r="G1698">
        <v>20</v>
      </c>
      <c r="H1698">
        <v>92.89</v>
      </c>
      <c r="I1698" t="s">
        <v>16</v>
      </c>
      <c r="J1698">
        <v>606</v>
      </c>
      <c r="K1698">
        <v>2</v>
      </c>
    </row>
    <row r="1699" spans="1:11">
      <c r="A1699" t="s">
        <v>1746</v>
      </c>
      <c r="B1699" t="s">
        <v>52</v>
      </c>
      <c r="C1699" t="s">
        <v>58</v>
      </c>
      <c r="D1699" t="s">
        <v>26</v>
      </c>
      <c r="E1699" s="1">
        <v>45061</v>
      </c>
      <c r="F1699" s="1">
        <v>45064</v>
      </c>
      <c r="G1699">
        <v>30.8</v>
      </c>
      <c r="H1699">
        <v>84.89</v>
      </c>
      <c r="I1699" t="s">
        <v>16</v>
      </c>
      <c r="J1699">
        <v>433</v>
      </c>
      <c r="K1699">
        <v>3</v>
      </c>
    </row>
    <row r="1700" spans="1:11">
      <c r="A1700" t="s">
        <v>1747</v>
      </c>
      <c r="B1700" t="s">
        <v>50</v>
      </c>
      <c r="C1700" t="s">
        <v>37</v>
      </c>
      <c r="D1700" t="s">
        <v>19</v>
      </c>
      <c r="E1700" s="1">
        <v>45239</v>
      </c>
      <c r="F1700" s="1">
        <v>45243</v>
      </c>
      <c r="G1700">
        <v>38.799999999999997</v>
      </c>
      <c r="H1700">
        <v>192.95</v>
      </c>
      <c r="I1700" t="s">
        <v>16</v>
      </c>
      <c r="J1700">
        <v>755</v>
      </c>
      <c r="K1700">
        <v>4</v>
      </c>
    </row>
    <row r="1701" spans="1:11">
      <c r="A1701" t="s">
        <v>1748</v>
      </c>
      <c r="B1701" t="s">
        <v>36</v>
      </c>
      <c r="C1701" t="s">
        <v>37</v>
      </c>
      <c r="D1701" t="s">
        <v>43</v>
      </c>
      <c r="E1701" s="1">
        <v>44982</v>
      </c>
      <c r="F1701" s="1">
        <v>44987</v>
      </c>
      <c r="G1701">
        <v>69.7</v>
      </c>
      <c r="H1701">
        <v>267.92</v>
      </c>
      <c r="I1701" t="s">
        <v>16</v>
      </c>
      <c r="J1701">
        <v>1580</v>
      </c>
      <c r="K1701">
        <v>5</v>
      </c>
    </row>
    <row r="1702" spans="1:11">
      <c r="A1702" t="s">
        <v>1749</v>
      </c>
      <c r="B1702" t="s">
        <v>31</v>
      </c>
      <c r="C1702" t="s">
        <v>71</v>
      </c>
      <c r="D1702" t="s">
        <v>60</v>
      </c>
      <c r="E1702" s="1">
        <v>45091</v>
      </c>
      <c r="F1702" s="1">
        <v>45096</v>
      </c>
      <c r="G1702">
        <v>45.3</v>
      </c>
      <c r="H1702">
        <v>234.57</v>
      </c>
      <c r="I1702" t="s">
        <v>16</v>
      </c>
      <c r="J1702">
        <v>1464</v>
      </c>
      <c r="K1702">
        <v>5</v>
      </c>
    </row>
    <row r="1703" spans="1:11">
      <c r="A1703" t="s">
        <v>1750</v>
      </c>
      <c r="B1703" t="s">
        <v>40</v>
      </c>
      <c r="C1703" t="s">
        <v>58</v>
      </c>
      <c r="D1703" t="s">
        <v>38</v>
      </c>
      <c r="E1703" s="1">
        <v>45209</v>
      </c>
      <c r="F1703" s="1">
        <v>45228</v>
      </c>
      <c r="G1703">
        <v>43.7</v>
      </c>
      <c r="H1703">
        <v>350.82</v>
      </c>
      <c r="I1703" t="s">
        <v>48</v>
      </c>
      <c r="J1703">
        <v>2299</v>
      </c>
      <c r="K1703">
        <v>6</v>
      </c>
    </row>
    <row r="1704" spans="1:11">
      <c r="A1704" t="s">
        <v>1751</v>
      </c>
      <c r="B1704" t="s">
        <v>36</v>
      </c>
      <c r="C1704" t="s">
        <v>55</v>
      </c>
      <c r="D1704" t="s">
        <v>38</v>
      </c>
      <c r="E1704" s="1">
        <v>44986</v>
      </c>
      <c r="F1704" s="1">
        <v>44992</v>
      </c>
      <c r="G1704">
        <v>16.399999999999999</v>
      </c>
      <c r="H1704">
        <v>178.38</v>
      </c>
      <c r="I1704" t="s">
        <v>16</v>
      </c>
      <c r="J1704">
        <v>1350</v>
      </c>
      <c r="K1704">
        <v>6</v>
      </c>
    </row>
    <row r="1705" spans="1:11">
      <c r="A1705" t="s">
        <v>1752</v>
      </c>
      <c r="B1705" t="s">
        <v>40</v>
      </c>
      <c r="C1705" t="s">
        <v>71</v>
      </c>
      <c r="D1705" t="s">
        <v>60</v>
      </c>
      <c r="E1705" s="1">
        <v>45101</v>
      </c>
      <c r="F1705" s="1">
        <v>45102</v>
      </c>
      <c r="G1705">
        <v>7</v>
      </c>
      <c r="H1705">
        <v>49.21</v>
      </c>
      <c r="I1705" t="s">
        <v>68</v>
      </c>
      <c r="J1705">
        <v>386</v>
      </c>
      <c r="K1705">
        <v>1</v>
      </c>
    </row>
    <row r="1706" spans="1:11">
      <c r="A1706" t="s">
        <v>1753</v>
      </c>
      <c r="B1706" t="s">
        <v>24</v>
      </c>
      <c r="C1706" t="s">
        <v>37</v>
      </c>
      <c r="D1706" t="s">
        <v>15</v>
      </c>
      <c r="E1706" s="1">
        <v>45109</v>
      </c>
      <c r="F1706" s="1">
        <v>45117</v>
      </c>
      <c r="G1706">
        <v>13</v>
      </c>
      <c r="H1706">
        <v>250.6</v>
      </c>
      <c r="I1706" t="s">
        <v>16</v>
      </c>
      <c r="J1706">
        <v>1899</v>
      </c>
      <c r="K1706">
        <v>8</v>
      </c>
    </row>
    <row r="1707" spans="1:11">
      <c r="A1707" t="s">
        <v>1754</v>
      </c>
      <c r="B1707" t="s">
        <v>21</v>
      </c>
      <c r="C1707" t="s">
        <v>37</v>
      </c>
      <c r="D1707" t="s">
        <v>43</v>
      </c>
      <c r="E1707" s="1">
        <v>45158</v>
      </c>
      <c r="F1707" s="1">
        <v>45162</v>
      </c>
      <c r="G1707">
        <v>40.5</v>
      </c>
      <c r="H1707">
        <v>155.06</v>
      </c>
      <c r="I1707" t="s">
        <v>16</v>
      </c>
      <c r="J1707">
        <v>787</v>
      </c>
      <c r="K1707">
        <v>4</v>
      </c>
    </row>
    <row r="1708" spans="1:11">
      <c r="A1708" t="s">
        <v>1755</v>
      </c>
      <c r="B1708" t="s">
        <v>52</v>
      </c>
      <c r="C1708" t="s">
        <v>37</v>
      </c>
      <c r="D1708" t="s">
        <v>43</v>
      </c>
      <c r="E1708" s="1">
        <v>45072</v>
      </c>
      <c r="F1708" s="1">
        <v>45078</v>
      </c>
      <c r="G1708">
        <v>50.6</v>
      </c>
      <c r="H1708">
        <v>328.01</v>
      </c>
      <c r="I1708" t="s">
        <v>16</v>
      </c>
      <c r="J1708">
        <v>2388</v>
      </c>
      <c r="K1708">
        <v>6</v>
      </c>
    </row>
    <row r="1709" spans="1:11">
      <c r="A1709" t="s">
        <v>1756</v>
      </c>
      <c r="B1709" t="s">
        <v>31</v>
      </c>
      <c r="C1709" t="s">
        <v>29</v>
      </c>
      <c r="D1709" t="s">
        <v>38</v>
      </c>
      <c r="E1709" s="1">
        <v>45136</v>
      </c>
      <c r="F1709" s="1">
        <v>45141</v>
      </c>
      <c r="G1709">
        <v>35.4</v>
      </c>
      <c r="H1709">
        <v>301.47000000000003</v>
      </c>
      <c r="I1709" t="s">
        <v>16</v>
      </c>
      <c r="J1709">
        <v>2347</v>
      </c>
      <c r="K1709">
        <v>5</v>
      </c>
    </row>
    <row r="1710" spans="1:11">
      <c r="A1710" t="s">
        <v>1757</v>
      </c>
      <c r="B1710" t="s">
        <v>28</v>
      </c>
      <c r="C1710" t="s">
        <v>14</v>
      </c>
      <c r="D1710" t="s">
        <v>33</v>
      </c>
      <c r="E1710" s="1">
        <v>45244</v>
      </c>
      <c r="F1710" s="1">
        <v>45249</v>
      </c>
      <c r="G1710">
        <v>9.6999999999999993</v>
      </c>
      <c r="H1710">
        <v>228.09</v>
      </c>
      <c r="I1710" t="s">
        <v>16</v>
      </c>
      <c r="J1710">
        <v>1364</v>
      </c>
      <c r="K1710">
        <v>5</v>
      </c>
    </row>
    <row r="1711" spans="1:11">
      <c r="A1711" t="s">
        <v>1758</v>
      </c>
      <c r="B1711" t="s">
        <v>21</v>
      </c>
      <c r="C1711" t="s">
        <v>25</v>
      </c>
      <c r="D1711" t="s">
        <v>15</v>
      </c>
      <c r="E1711" s="1">
        <v>44984</v>
      </c>
      <c r="F1711" s="1">
        <v>44987</v>
      </c>
      <c r="G1711">
        <v>7.2</v>
      </c>
      <c r="H1711">
        <v>137.16</v>
      </c>
      <c r="I1711" t="s">
        <v>16</v>
      </c>
      <c r="J1711">
        <v>1135</v>
      </c>
      <c r="K1711">
        <v>3</v>
      </c>
    </row>
    <row r="1712" spans="1:11">
      <c r="A1712" t="s">
        <v>1759</v>
      </c>
      <c r="B1712" t="s">
        <v>36</v>
      </c>
      <c r="C1712" t="s">
        <v>47</v>
      </c>
      <c r="D1712" t="s">
        <v>26</v>
      </c>
      <c r="E1712" s="1">
        <v>44996</v>
      </c>
      <c r="F1712" s="1">
        <v>45003</v>
      </c>
      <c r="G1712">
        <v>10.7</v>
      </c>
      <c r="H1712">
        <v>290.55</v>
      </c>
      <c r="I1712" t="s">
        <v>16</v>
      </c>
      <c r="J1712">
        <v>2200</v>
      </c>
      <c r="K1712">
        <v>7</v>
      </c>
    </row>
    <row r="1713" spans="1:11">
      <c r="A1713" t="s">
        <v>1760</v>
      </c>
      <c r="B1713" t="s">
        <v>36</v>
      </c>
      <c r="C1713" t="s">
        <v>82</v>
      </c>
      <c r="D1713" t="s">
        <v>33</v>
      </c>
      <c r="E1713" s="1">
        <v>45037</v>
      </c>
      <c r="F1713" s="1">
        <v>45043</v>
      </c>
      <c r="G1713">
        <v>19.5</v>
      </c>
      <c r="H1713">
        <v>150.02000000000001</v>
      </c>
      <c r="I1713" t="s">
        <v>16</v>
      </c>
      <c r="J1713">
        <v>1000</v>
      </c>
      <c r="K1713">
        <v>6</v>
      </c>
    </row>
    <row r="1714" spans="1:11">
      <c r="A1714" t="s">
        <v>1761</v>
      </c>
      <c r="B1714" t="s">
        <v>24</v>
      </c>
      <c r="C1714" t="s">
        <v>45</v>
      </c>
      <c r="D1714" t="s">
        <v>15</v>
      </c>
      <c r="E1714" s="1">
        <v>45051</v>
      </c>
      <c r="F1714" s="1">
        <v>45054</v>
      </c>
      <c r="G1714">
        <v>11.7</v>
      </c>
      <c r="H1714">
        <v>99.97</v>
      </c>
      <c r="I1714" t="s">
        <v>16</v>
      </c>
      <c r="J1714">
        <v>701</v>
      </c>
      <c r="K1714">
        <v>3</v>
      </c>
    </row>
    <row r="1715" spans="1:11">
      <c r="A1715" t="s">
        <v>1762</v>
      </c>
      <c r="B1715" t="s">
        <v>52</v>
      </c>
      <c r="C1715" t="s">
        <v>41</v>
      </c>
      <c r="D1715" t="s">
        <v>19</v>
      </c>
      <c r="E1715" s="1">
        <v>45028</v>
      </c>
      <c r="F1715" s="1">
        <v>45032</v>
      </c>
      <c r="G1715">
        <v>28.8</v>
      </c>
      <c r="H1715">
        <v>325.2</v>
      </c>
      <c r="I1715" t="s">
        <v>16</v>
      </c>
      <c r="J1715">
        <v>1883</v>
      </c>
      <c r="K1715">
        <v>4</v>
      </c>
    </row>
    <row r="1716" spans="1:11">
      <c r="A1716" t="s">
        <v>1763</v>
      </c>
      <c r="B1716" t="s">
        <v>24</v>
      </c>
      <c r="C1716" t="s">
        <v>41</v>
      </c>
      <c r="D1716" t="s">
        <v>15</v>
      </c>
      <c r="E1716" s="1">
        <v>45107</v>
      </c>
      <c r="F1716" s="1">
        <v>45113</v>
      </c>
      <c r="G1716">
        <v>7</v>
      </c>
      <c r="H1716">
        <v>296.14999999999998</v>
      </c>
      <c r="I1716" t="s">
        <v>16</v>
      </c>
      <c r="J1716">
        <v>2424</v>
      </c>
      <c r="K1716">
        <v>6</v>
      </c>
    </row>
    <row r="1717" spans="1:11">
      <c r="A1717" t="s">
        <v>1764</v>
      </c>
      <c r="B1717" t="s">
        <v>28</v>
      </c>
      <c r="C1717" t="s">
        <v>32</v>
      </c>
      <c r="D1717" t="s">
        <v>33</v>
      </c>
      <c r="E1717" s="1">
        <v>45047</v>
      </c>
      <c r="F1717" s="1">
        <v>45055</v>
      </c>
      <c r="G1717">
        <v>48.9</v>
      </c>
      <c r="H1717">
        <v>354.59</v>
      </c>
      <c r="I1717" t="s">
        <v>61</v>
      </c>
      <c r="J1717">
        <v>2059</v>
      </c>
      <c r="K1717">
        <v>8</v>
      </c>
    </row>
    <row r="1718" spans="1:11">
      <c r="A1718" t="s">
        <v>1765</v>
      </c>
      <c r="B1718" t="s">
        <v>50</v>
      </c>
      <c r="C1718" t="s">
        <v>37</v>
      </c>
      <c r="D1718" t="s">
        <v>26</v>
      </c>
      <c r="E1718" s="1">
        <v>45092</v>
      </c>
      <c r="F1718" s="1">
        <v>45101</v>
      </c>
      <c r="G1718">
        <v>108.8</v>
      </c>
      <c r="H1718">
        <v>368.09</v>
      </c>
      <c r="I1718" t="s">
        <v>48</v>
      </c>
      <c r="J1718">
        <v>1857</v>
      </c>
      <c r="K1718">
        <v>5</v>
      </c>
    </row>
    <row r="1719" spans="1:11">
      <c r="A1719" t="s">
        <v>1766</v>
      </c>
      <c r="B1719" t="s">
        <v>13</v>
      </c>
      <c r="C1719" t="s">
        <v>18</v>
      </c>
      <c r="D1719" t="s">
        <v>60</v>
      </c>
      <c r="E1719" s="1">
        <v>45234</v>
      </c>
      <c r="F1719" s="1">
        <v>45239</v>
      </c>
      <c r="G1719">
        <v>12.2</v>
      </c>
      <c r="H1719">
        <v>37.96</v>
      </c>
      <c r="I1719" t="s">
        <v>16</v>
      </c>
      <c r="J1719">
        <v>152</v>
      </c>
      <c r="K1719">
        <v>5</v>
      </c>
    </row>
    <row r="1720" spans="1:11">
      <c r="A1720" t="s">
        <v>1767</v>
      </c>
      <c r="B1720" t="s">
        <v>13</v>
      </c>
      <c r="C1720" t="s">
        <v>58</v>
      </c>
      <c r="D1720" t="s">
        <v>19</v>
      </c>
      <c r="E1720" s="1">
        <v>45271</v>
      </c>
      <c r="F1720" s="1">
        <v>45276</v>
      </c>
      <c r="G1720">
        <v>9</v>
      </c>
      <c r="H1720">
        <v>287.97000000000003</v>
      </c>
      <c r="I1720" t="s">
        <v>63</v>
      </c>
      <c r="J1720">
        <v>1495</v>
      </c>
      <c r="K1720">
        <v>5</v>
      </c>
    </row>
    <row r="1721" spans="1:11">
      <c r="A1721" t="s">
        <v>1768</v>
      </c>
      <c r="B1721" t="s">
        <v>40</v>
      </c>
      <c r="C1721" t="s">
        <v>82</v>
      </c>
      <c r="D1721" t="s">
        <v>26</v>
      </c>
      <c r="E1721" s="1">
        <v>45152</v>
      </c>
      <c r="F1721" s="1">
        <v>45155</v>
      </c>
      <c r="G1721">
        <v>17.3</v>
      </c>
      <c r="H1721">
        <v>146.13999999999999</v>
      </c>
      <c r="I1721" t="s">
        <v>16</v>
      </c>
      <c r="J1721">
        <v>1030</v>
      </c>
      <c r="K1721">
        <v>3</v>
      </c>
    </row>
    <row r="1722" spans="1:11">
      <c r="A1722" t="s">
        <v>1769</v>
      </c>
      <c r="B1722" t="s">
        <v>28</v>
      </c>
      <c r="C1722" t="s">
        <v>82</v>
      </c>
      <c r="D1722" t="s">
        <v>33</v>
      </c>
      <c r="E1722" s="1">
        <v>45067</v>
      </c>
      <c r="F1722" s="1">
        <v>45070</v>
      </c>
      <c r="G1722">
        <v>19.399999999999999</v>
      </c>
      <c r="H1722">
        <v>143.96</v>
      </c>
      <c r="I1722" t="s">
        <v>16</v>
      </c>
      <c r="J1722">
        <v>854</v>
      </c>
      <c r="K1722">
        <v>3</v>
      </c>
    </row>
    <row r="1723" spans="1:11">
      <c r="A1723" t="s">
        <v>1770</v>
      </c>
      <c r="B1723" t="s">
        <v>50</v>
      </c>
      <c r="C1723" t="s">
        <v>37</v>
      </c>
      <c r="D1723" t="s">
        <v>60</v>
      </c>
      <c r="E1723" s="1">
        <v>45041</v>
      </c>
      <c r="F1723" s="1">
        <v>45042</v>
      </c>
      <c r="G1723">
        <v>22.8</v>
      </c>
      <c r="H1723">
        <v>36.24</v>
      </c>
      <c r="I1723" t="s">
        <v>16</v>
      </c>
      <c r="J1723">
        <v>101</v>
      </c>
      <c r="K1723">
        <v>1</v>
      </c>
    </row>
    <row r="1724" spans="1:11">
      <c r="A1724" t="s">
        <v>1771</v>
      </c>
      <c r="B1724" t="s">
        <v>40</v>
      </c>
      <c r="C1724" t="s">
        <v>47</v>
      </c>
      <c r="D1724" t="s">
        <v>43</v>
      </c>
      <c r="E1724" s="1">
        <v>45291</v>
      </c>
      <c r="F1724" s="1">
        <v>45296</v>
      </c>
      <c r="G1724">
        <v>27.4</v>
      </c>
      <c r="H1724">
        <v>392.67</v>
      </c>
      <c r="I1724" t="s">
        <v>16</v>
      </c>
      <c r="J1724">
        <v>2353</v>
      </c>
      <c r="K1724">
        <v>5</v>
      </c>
    </row>
    <row r="1725" spans="1:11">
      <c r="A1725" t="s">
        <v>1772</v>
      </c>
      <c r="B1725" t="s">
        <v>40</v>
      </c>
      <c r="C1725" t="s">
        <v>71</v>
      </c>
      <c r="D1725" t="s">
        <v>60</v>
      </c>
      <c r="E1725" s="1">
        <v>45120</v>
      </c>
      <c r="F1725" s="1">
        <v>45123</v>
      </c>
      <c r="G1725">
        <v>17.7</v>
      </c>
      <c r="H1725">
        <v>170.71</v>
      </c>
      <c r="I1725" t="s">
        <v>16</v>
      </c>
      <c r="J1725">
        <v>1382</v>
      </c>
      <c r="K1725">
        <v>3</v>
      </c>
    </row>
    <row r="1726" spans="1:11">
      <c r="A1726" t="s">
        <v>1773</v>
      </c>
      <c r="B1726" t="s">
        <v>57</v>
      </c>
      <c r="C1726" t="s">
        <v>47</v>
      </c>
      <c r="D1726" t="s">
        <v>19</v>
      </c>
      <c r="E1726" s="1">
        <v>45101</v>
      </c>
      <c r="F1726" s="1">
        <v>45115</v>
      </c>
      <c r="G1726">
        <v>38.5</v>
      </c>
      <c r="H1726">
        <v>174.45</v>
      </c>
      <c r="I1726" t="s">
        <v>48</v>
      </c>
      <c r="J1726">
        <v>975</v>
      </c>
      <c r="K1726">
        <v>3</v>
      </c>
    </row>
    <row r="1727" spans="1:11">
      <c r="A1727" t="s">
        <v>1774</v>
      </c>
      <c r="B1727" t="s">
        <v>21</v>
      </c>
      <c r="C1727" t="s">
        <v>82</v>
      </c>
      <c r="D1727" t="s">
        <v>60</v>
      </c>
      <c r="E1727" s="1">
        <v>45110</v>
      </c>
      <c r="F1727" s="1">
        <v>45114</v>
      </c>
      <c r="G1727">
        <v>15.2</v>
      </c>
      <c r="H1727">
        <v>181.08</v>
      </c>
      <c r="I1727" t="s">
        <v>16</v>
      </c>
      <c r="J1727">
        <v>1453</v>
      </c>
      <c r="K1727">
        <v>4</v>
      </c>
    </row>
    <row r="1728" spans="1:11">
      <c r="A1728" t="s">
        <v>1775</v>
      </c>
      <c r="B1728" t="s">
        <v>31</v>
      </c>
      <c r="C1728" t="s">
        <v>22</v>
      </c>
      <c r="D1728" t="s">
        <v>15</v>
      </c>
      <c r="E1728" s="1">
        <v>45157</v>
      </c>
      <c r="F1728" s="1">
        <v>45160</v>
      </c>
      <c r="G1728">
        <v>9.5</v>
      </c>
      <c r="H1728">
        <v>177.71</v>
      </c>
      <c r="I1728" t="s">
        <v>63</v>
      </c>
      <c r="J1728">
        <v>1321</v>
      </c>
      <c r="K1728">
        <v>3</v>
      </c>
    </row>
    <row r="1729" spans="1:11">
      <c r="A1729" t="s">
        <v>1776</v>
      </c>
      <c r="B1729" t="s">
        <v>31</v>
      </c>
      <c r="C1729" t="s">
        <v>47</v>
      </c>
      <c r="D1729" t="s">
        <v>60</v>
      </c>
      <c r="E1729" s="1">
        <v>45229</v>
      </c>
      <c r="F1729" s="1">
        <v>45199</v>
      </c>
      <c r="G1729">
        <v>25.2</v>
      </c>
      <c r="H1729">
        <v>295.58999999999997</v>
      </c>
      <c r="I1729" t="s">
        <v>16</v>
      </c>
      <c r="J1729">
        <v>2279</v>
      </c>
      <c r="K1729">
        <v>7</v>
      </c>
    </row>
    <row r="1730" spans="1:11">
      <c r="A1730" t="s">
        <v>1777</v>
      </c>
      <c r="B1730" t="s">
        <v>40</v>
      </c>
      <c r="C1730" t="s">
        <v>32</v>
      </c>
      <c r="D1730" t="s">
        <v>33</v>
      </c>
      <c r="E1730" s="1">
        <v>45085</v>
      </c>
      <c r="F1730" s="1">
        <v>45090</v>
      </c>
      <c r="G1730">
        <v>11.8</v>
      </c>
      <c r="H1730">
        <v>116.39</v>
      </c>
      <c r="I1730" t="s">
        <v>16</v>
      </c>
      <c r="J1730">
        <v>835</v>
      </c>
      <c r="K1730">
        <v>5</v>
      </c>
    </row>
    <row r="1731" spans="1:11">
      <c r="A1731" t="s">
        <v>1778</v>
      </c>
      <c r="B1731" t="s">
        <v>21</v>
      </c>
      <c r="C1731" t="s">
        <v>55</v>
      </c>
      <c r="D1731" t="s">
        <v>26</v>
      </c>
      <c r="E1731" s="1">
        <v>45080</v>
      </c>
      <c r="F1731" s="1">
        <v>45084</v>
      </c>
      <c r="G1731">
        <v>8.6999999999999993</v>
      </c>
      <c r="H1731">
        <v>124.66</v>
      </c>
      <c r="I1731" t="s">
        <v>16</v>
      </c>
      <c r="J1731">
        <v>1035</v>
      </c>
      <c r="K1731">
        <v>4</v>
      </c>
    </row>
    <row r="1732" spans="1:11">
      <c r="A1732" t="s">
        <v>1779</v>
      </c>
      <c r="B1732" t="s">
        <v>57</v>
      </c>
      <c r="C1732" t="s">
        <v>14</v>
      </c>
      <c r="D1732" t="s">
        <v>60</v>
      </c>
      <c r="E1732" s="1">
        <v>45019</v>
      </c>
      <c r="F1732" s="1">
        <v>45023</v>
      </c>
      <c r="G1732">
        <v>226.6</v>
      </c>
      <c r="H1732">
        <v>44.83</v>
      </c>
      <c r="I1732" t="s">
        <v>16</v>
      </c>
      <c r="J1732">
        <v>202</v>
      </c>
      <c r="K1732">
        <v>4</v>
      </c>
    </row>
    <row r="1733" spans="1:11">
      <c r="A1733" t="s">
        <v>1780</v>
      </c>
      <c r="B1733" t="s">
        <v>36</v>
      </c>
      <c r="C1733" t="s">
        <v>58</v>
      </c>
      <c r="D1733" t="s">
        <v>38</v>
      </c>
      <c r="E1733" s="1">
        <v>45157</v>
      </c>
      <c r="F1733" s="1">
        <v>45159</v>
      </c>
      <c r="G1733">
        <v>14.3</v>
      </c>
      <c r="H1733">
        <v>44.86</v>
      </c>
      <c r="I1733" t="s">
        <v>16</v>
      </c>
      <c r="J1733">
        <v>226</v>
      </c>
      <c r="K1733">
        <v>2</v>
      </c>
    </row>
    <row r="1734" spans="1:11">
      <c r="A1734" t="s">
        <v>1781</v>
      </c>
      <c r="B1734" t="s">
        <v>40</v>
      </c>
      <c r="C1734" t="s">
        <v>55</v>
      </c>
      <c r="D1734" t="s">
        <v>33</v>
      </c>
      <c r="E1734" s="1">
        <v>45248</v>
      </c>
      <c r="F1734" s="1">
        <v>45254</v>
      </c>
      <c r="G1734">
        <v>47.6</v>
      </c>
      <c r="H1734">
        <v>434.73</v>
      </c>
      <c r="I1734" t="s">
        <v>16</v>
      </c>
      <c r="J1734">
        <v>2194</v>
      </c>
      <c r="K1734">
        <v>6</v>
      </c>
    </row>
    <row r="1735" spans="1:11">
      <c r="A1735" t="s">
        <v>1782</v>
      </c>
      <c r="B1735" t="s">
        <v>40</v>
      </c>
      <c r="C1735" t="s">
        <v>53</v>
      </c>
      <c r="D1735" t="s">
        <v>38</v>
      </c>
      <c r="E1735" s="1">
        <v>45235</v>
      </c>
      <c r="F1735" s="1">
        <v>45246</v>
      </c>
      <c r="G1735">
        <v>22.5</v>
      </c>
      <c r="H1735">
        <v>320.2</v>
      </c>
      <c r="I1735" t="s">
        <v>16</v>
      </c>
      <c r="J1735">
        <v>1865</v>
      </c>
      <c r="K1735">
        <v>11</v>
      </c>
    </row>
    <row r="1736" spans="1:11">
      <c r="A1736" t="s">
        <v>1783</v>
      </c>
      <c r="B1736" t="s">
        <v>36</v>
      </c>
      <c r="C1736" t="s">
        <v>82</v>
      </c>
      <c r="D1736" t="s">
        <v>33</v>
      </c>
      <c r="E1736" s="1">
        <v>45019</v>
      </c>
      <c r="F1736" s="1">
        <v>45023</v>
      </c>
      <c r="G1736">
        <v>19.100000000000001</v>
      </c>
      <c r="H1736">
        <v>159.13999999999999</v>
      </c>
      <c r="I1736" t="s">
        <v>16</v>
      </c>
      <c r="J1736">
        <v>1000</v>
      </c>
      <c r="K1736">
        <v>4</v>
      </c>
    </row>
    <row r="1737" spans="1:11">
      <c r="A1737" t="s">
        <v>1784</v>
      </c>
      <c r="B1737" t="s">
        <v>24</v>
      </c>
      <c r="C1737" t="s">
        <v>58</v>
      </c>
      <c r="D1737" t="s">
        <v>60</v>
      </c>
      <c r="E1737" s="1">
        <v>45009</v>
      </c>
      <c r="F1737" s="1">
        <v>45014</v>
      </c>
      <c r="G1737">
        <v>58.8</v>
      </c>
      <c r="H1737">
        <v>177.73</v>
      </c>
      <c r="I1737" t="s">
        <v>16</v>
      </c>
      <c r="J1737">
        <v>892</v>
      </c>
      <c r="K1737">
        <v>5</v>
      </c>
    </row>
    <row r="1738" spans="1:11">
      <c r="A1738" t="s">
        <v>1785</v>
      </c>
      <c r="B1738" t="s">
        <v>28</v>
      </c>
      <c r="C1738" t="s">
        <v>53</v>
      </c>
      <c r="D1738" t="s">
        <v>43</v>
      </c>
      <c r="E1738" s="1">
        <v>45223</v>
      </c>
      <c r="F1738" s="1">
        <v>45231</v>
      </c>
      <c r="G1738">
        <v>32</v>
      </c>
      <c r="H1738">
        <v>301.33</v>
      </c>
      <c r="I1738" t="s">
        <v>16</v>
      </c>
      <c r="J1738">
        <v>2356</v>
      </c>
      <c r="K1738">
        <v>8</v>
      </c>
    </row>
    <row r="1739" spans="1:11">
      <c r="A1739" t="s">
        <v>1786</v>
      </c>
      <c r="B1739" t="s">
        <v>57</v>
      </c>
      <c r="C1739" t="s">
        <v>55</v>
      </c>
      <c r="D1739" t="s">
        <v>43</v>
      </c>
      <c r="E1739" s="1">
        <v>45265</v>
      </c>
      <c r="F1739" s="1">
        <v>45266</v>
      </c>
      <c r="G1739">
        <v>5</v>
      </c>
      <c r="H1739">
        <v>33.880000000000003</v>
      </c>
      <c r="I1739" t="s">
        <v>16</v>
      </c>
      <c r="J1739">
        <v>165</v>
      </c>
      <c r="K1739">
        <v>1</v>
      </c>
    </row>
    <row r="1740" spans="1:11">
      <c r="A1740" t="s">
        <v>1787</v>
      </c>
      <c r="B1740" t="s">
        <v>13</v>
      </c>
      <c r="C1740" t="s">
        <v>55</v>
      </c>
      <c r="D1740" t="s">
        <v>33</v>
      </c>
      <c r="E1740" s="1">
        <v>45053</v>
      </c>
      <c r="F1740" s="1">
        <v>45055</v>
      </c>
      <c r="G1740">
        <v>0.2</v>
      </c>
      <c r="H1740">
        <v>88.88</v>
      </c>
      <c r="I1740" t="s">
        <v>16</v>
      </c>
      <c r="J1740">
        <v>403</v>
      </c>
      <c r="K1740">
        <v>2</v>
      </c>
    </row>
    <row r="1741" spans="1:11">
      <c r="A1741" t="s">
        <v>1788</v>
      </c>
      <c r="B1741" t="s">
        <v>21</v>
      </c>
      <c r="C1741" t="s">
        <v>53</v>
      </c>
      <c r="D1741" t="s">
        <v>26</v>
      </c>
      <c r="E1741" s="1">
        <v>45139</v>
      </c>
      <c r="F1741" s="1">
        <v>45141</v>
      </c>
      <c r="G1741">
        <v>9.6999999999999993</v>
      </c>
      <c r="H1741">
        <v>60.27</v>
      </c>
      <c r="I1741" t="s">
        <v>16</v>
      </c>
      <c r="J1741">
        <v>373</v>
      </c>
      <c r="K1741">
        <v>2</v>
      </c>
    </row>
    <row r="1742" spans="1:11">
      <c r="A1742" t="s">
        <v>1789</v>
      </c>
      <c r="B1742" t="s">
        <v>21</v>
      </c>
      <c r="C1742" t="s">
        <v>32</v>
      </c>
      <c r="D1742" t="s">
        <v>19</v>
      </c>
      <c r="E1742" s="1">
        <v>45034</v>
      </c>
      <c r="F1742" s="1">
        <v>45038</v>
      </c>
      <c r="G1742">
        <v>29.8</v>
      </c>
      <c r="H1742">
        <v>248.19</v>
      </c>
      <c r="I1742" t="s">
        <v>16</v>
      </c>
      <c r="J1742">
        <v>1462</v>
      </c>
      <c r="K1742">
        <v>4</v>
      </c>
    </row>
    <row r="1743" spans="1:11">
      <c r="A1743" t="s">
        <v>1790</v>
      </c>
      <c r="B1743" t="s">
        <v>28</v>
      </c>
      <c r="C1743" t="s">
        <v>58</v>
      </c>
      <c r="D1743" t="s">
        <v>60</v>
      </c>
      <c r="E1743" s="1">
        <v>44954</v>
      </c>
      <c r="F1743" s="1">
        <v>44961</v>
      </c>
      <c r="G1743">
        <v>15.7</v>
      </c>
      <c r="H1743">
        <v>199.62</v>
      </c>
      <c r="I1743" t="s">
        <v>16</v>
      </c>
      <c r="J1743">
        <v>1715</v>
      </c>
      <c r="K1743">
        <v>7</v>
      </c>
    </row>
    <row r="1744" spans="1:11">
      <c r="A1744" t="s">
        <v>1791</v>
      </c>
      <c r="B1744" t="s">
        <v>52</v>
      </c>
      <c r="C1744" t="s">
        <v>41</v>
      </c>
      <c r="D1744" t="s">
        <v>26</v>
      </c>
      <c r="E1744" s="1">
        <v>44976</v>
      </c>
      <c r="F1744" s="1">
        <v>44981</v>
      </c>
      <c r="G1744">
        <v>55</v>
      </c>
      <c r="H1744">
        <v>282.54000000000002</v>
      </c>
      <c r="I1744" t="s">
        <v>16</v>
      </c>
      <c r="J1744">
        <v>2033</v>
      </c>
      <c r="K1744">
        <v>5</v>
      </c>
    </row>
    <row r="1745" spans="1:11">
      <c r="A1745" t="s">
        <v>1792</v>
      </c>
      <c r="B1745" t="s">
        <v>13</v>
      </c>
      <c r="C1745" t="s">
        <v>53</v>
      </c>
      <c r="D1745" t="s">
        <v>38</v>
      </c>
      <c r="E1745" s="1">
        <v>45263</v>
      </c>
      <c r="F1745" s="1">
        <v>45281</v>
      </c>
      <c r="G1745">
        <v>31.4</v>
      </c>
      <c r="H1745">
        <v>226.08</v>
      </c>
      <c r="I1745" t="s">
        <v>48</v>
      </c>
      <c r="J1745">
        <v>1430</v>
      </c>
      <c r="K1745">
        <v>5</v>
      </c>
    </row>
    <row r="1746" spans="1:11">
      <c r="A1746" t="s">
        <v>1793</v>
      </c>
      <c r="B1746" t="s">
        <v>31</v>
      </c>
      <c r="C1746" t="s">
        <v>29</v>
      </c>
      <c r="D1746" t="s">
        <v>43</v>
      </c>
      <c r="E1746" s="1">
        <v>45197</v>
      </c>
      <c r="F1746" s="1">
        <v>45201</v>
      </c>
      <c r="G1746">
        <v>54.2</v>
      </c>
      <c r="H1746">
        <v>240.9</v>
      </c>
      <c r="I1746" t="s">
        <v>16</v>
      </c>
      <c r="J1746">
        <v>1309</v>
      </c>
      <c r="K1746">
        <v>4</v>
      </c>
    </row>
    <row r="1747" spans="1:11">
      <c r="A1747" t="s">
        <v>1794</v>
      </c>
      <c r="B1747" t="s">
        <v>40</v>
      </c>
      <c r="C1747" t="s">
        <v>47</v>
      </c>
      <c r="D1747" t="s">
        <v>60</v>
      </c>
      <c r="E1747" s="1">
        <v>45166</v>
      </c>
      <c r="F1747" s="1">
        <v>45171</v>
      </c>
      <c r="G1747">
        <v>54.6</v>
      </c>
      <c r="H1747">
        <v>185.97</v>
      </c>
      <c r="I1747" t="s">
        <v>16</v>
      </c>
      <c r="J1747">
        <v>942</v>
      </c>
      <c r="K1747">
        <v>5</v>
      </c>
    </row>
    <row r="1748" spans="1:11">
      <c r="A1748" t="s">
        <v>1795</v>
      </c>
      <c r="B1748" t="s">
        <v>21</v>
      </c>
      <c r="C1748" t="s">
        <v>25</v>
      </c>
      <c r="D1748" t="s">
        <v>60</v>
      </c>
      <c r="E1748" s="1">
        <v>45286</v>
      </c>
      <c r="F1748" s="1">
        <v>45294</v>
      </c>
      <c r="G1748">
        <v>46.8</v>
      </c>
      <c r="H1748">
        <v>230.72</v>
      </c>
      <c r="I1748" t="s">
        <v>48</v>
      </c>
      <c r="J1748">
        <v>1135</v>
      </c>
      <c r="K1748">
        <v>3</v>
      </c>
    </row>
    <row r="1749" spans="1:11">
      <c r="A1749" t="s">
        <v>1796</v>
      </c>
      <c r="B1749" t="s">
        <v>28</v>
      </c>
      <c r="C1749" t="s">
        <v>37</v>
      </c>
      <c r="D1749" t="s">
        <v>60</v>
      </c>
      <c r="E1749" s="1">
        <v>45164</v>
      </c>
      <c r="F1749" s="1">
        <v>45168</v>
      </c>
      <c r="G1749">
        <v>36.700000000000003</v>
      </c>
      <c r="H1749">
        <v>163.13999999999999</v>
      </c>
      <c r="I1749" t="s">
        <v>16</v>
      </c>
      <c r="J1749">
        <v>1070</v>
      </c>
      <c r="K1749">
        <v>4</v>
      </c>
    </row>
    <row r="1750" spans="1:11">
      <c r="A1750" t="s">
        <v>1797</v>
      </c>
      <c r="B1750" t="s">
        <v>31</v>
      </c>
      <c r="C1750" t="s">
        <v>14</v>
      </c>
      <c r="D1750" t="s">
        <v>15</v>
      </c>
      <c r="E1750" s="1">
        <v>45064</v>
      </c>
      <c r="F1750" s="1">
        <v>45069</v>
      </c>
      <c r="G1750">
        <v>20.9</v>
      </c>
      <c r="H1750">
        <v>267.89</v>
      </c>
      <c r="I1750" t="s">
        <v>16</v>
      </c>
      <c r="J1750">
        <v>2032</v>
      </c>
      <c r="K1750">
        <v>5</v>
      </c>
    </row>
    <row r="1751" spans="1:11">
      <c r="A1751" t="s">
        <v>1798</v>
      </c>
      <c r="B1751" t="s">
        <v>52</v>
      </c>
      <c r="C1751" t="s">
        <v>37</v>
      </c>
      <c r="D1751" t="s">
        <v>33</v>
      </c>
      <c r="E1751" s="1">
        <v>45022</v>
      </c>
      <c r="F1751" s="1">
        <v>45028</v>
      </c>
      <c r="G1751">
        <v>6.6</v>
      </c>
      <c r="H1751">
        <v>297.63</v>
      </c>
      <c r="I1751" t="s">
        <v>16</v>
      </c>
      <c r="J1751">
        <v>2132</v>
      </c>
      <c r="K1751">
        <v>6</v>
      </c>
    </row>
    <row r="1752" spans="1:11">
      <c r="A1752" t="s">
        <v>1799</v>
      </c>
      <c r="B1752" t="s">
        <v>31</v>
      </c>
      <c r="C1752" t="s">
        <v>25</v>
      </c>
      <c r="D1752" t="s">
        <v>43</v>
      </c>
      <c r="E1752" s="1">
        <v>45236</v>
      </c>
      <c r="F1752" s="1">
        <v>45239</v>
      </c>
      <c r="G1752">
        <v>12.4</v>
      </c>
      <c r="H1752">
        <v>167.33</v>
      </c>
      <c r="I1752" t="s">
        <v>61</v>
      </c>
      <c r="J1752">
        <v>1030</v>
      </c>
      <c r="K1752">
        <v>3</v>
      </c>
    </row>
    <row r="1753" spans="1:11">
      <c r="A1753" t="s">
        <v>1800</v>
      </c>
      <c r="B1753" t="s">
        <v>24</v>
      </c>
      <c r="C1753" t="s">
        <v>29</v>
      </c>
      <c r="D1753" t="s">
        <v>43</v>
      </c>
      <c r="E1753" s="1">
        <v>45141</v>
      </c>
      <c r="F1753" s="1">
        <v>45146</v>
      </c>
      <c r="G1753">
        <v>20.2</v>
      </c>
      <c r="I1753" t="s">
        <v>16</v>
      </c>
      <c r="J1753">
        <v>1360</v>
      </c>
      <c r="K1753">
        <v>5</v>
      </c>
    </row>
    <row r="1754" spans="1:11">
      <c r="A1754" t="s">
        <v>1801</v>
      </c>
      <c r="B1754" t="s">
        <v>57</v>
      </c>
      <c r="C1754" t="s">
        <v>53</v>
      </c>
      <c r="D1754" t="s">
        <v>38</v>
      </c>
      <c r="E1754" s="1">
        <v>45233</v>
      </c>
      <c r="F1754" s="1">
        <v>45236</v>
      </c>
      <c r="G1754">
        <v>40.299999999999997</v>
      </c>
      <c r="H1754">
        <v>158.18</v>
      </c>
      <c r="I1754" t="s">
        <v>16</v>
      </c>
      <c r="J1754">
        <v>645</v>
      </c>
      <c r="K1754">
        <v>3</v>
      </c>
    </row>
    <row r="1755" spans="1:11">
      <c r="A1755" t="s">
        <v>1802</v>
      </c>
      <c r="B1755" t="s">
        <v>28</v>
      </c>
      <c r="C1755" t="s">
        <v>82</v>
      </c>
      <c r="D1755" t="s">
        <v>60</v>
      </c>
      <c r="E1755" s="1">
        <v>45219</v>
      </c>
      <c r="F1755" s="1">
        <v>45236</v>
      </c>
      <c r="G1755">
        <v>12.4</v>
      </c>
      <c r="H1755">
        <v>256.57</v>
      </c>
      <c r="I1755" t="s">
        <v>48</v>
      </c>
      <c r="J1755">
        <v>2179</v>
      </c>
      <c r="K1755">
        <v>6</v>
      </c>
    </row>
    <row r="1756" spans="1:11">
      <c r="A1756" t="s">
        <v>1803</v>
      </c>
      <c r="B1756" t="s">
        <v>50</v>
      </c>
      <c r="C1756" t="s">
        <v>45</v>
      </c>
      <c r="D1756" t="s">
        <v>19</v>
      </c>
      <c r="E1756" s="1">
        <v>44975</v>
      </c>
      <c r="F1756" s="1">
        <v>44977</v>
      </c>
      <c r="G1756">
        <v>22.2</v>
      </c>
      <c r="H1756">
        <v>83.4</v>
      </c>
      <c r="I1756" t="s">
        <v>68</v>
      </c>
      <c r="J1756">
        <v>368</v>
      </c>
      <c r="K1756">
        <v>2</v>
      </c>
    </row>
    <row r="1757" spans="1:11">
      <c r="A1757" t="s">
        <v>1804</v>
      </c>
      <c r="B1757" t="s">
        <v>28</v>
      </c>
      <c r="C1757" t="s">
        <v>53</v>
      </c>
      <c r="D1757" t="s">
        <v>60</v>
      </c>
      <c r="E1757" s="1">
        <v>45046</v>
      </c>
      <c r="F1757" s="1">
        <v>45051</v>
      </c>
      <c r="G1757">
        <v>24.6</v>
      </c>
      <c r="H1757">
        <v>171.1</v>
      </c>
      <c r="I1757" t="s">
        <v>16</v>
      </c>
      <c r="J1757">
        <v>1225</v>
      </c>
      <c r="K1757">
        <v>5</v>
      </c>
    </row>
    <row r="1758" spans="1:11">
      <c r="A1758" t="s">
        <v>1805</v>
      </c>
      <c r="B1758" t="s">
        <v>21</v>
      </c>
      <c r="C1758" t="s">
        <v>53</v>
      </c>
      <c r="D1758" t="s">
        <v>26</v>
      </c>
      <c r="E1758" s="1">
        <v>45123</v>
      </c>
      <c r="F1758" s="1">
        <v>45124</v>
      </c>
      <c r="G1758">
        <v>94</v>
      </c>
      <c r="H1758">
        <v>143.19999999999999</v>
      </c>
      <c r="I1758" t="s">
        <v>16</v>
      </c>
      <c r="J1758">
        <v>373</v>
      </c>
      <c r="K1758">
        <v>1</v>
      </c>
    </row>
    <row r="1759" spans="1:11">
      <c r="A1759" t="s">
        <v>1806</v>
      </c>
      <c r="B1759" t="s">
        <v>31</v>
      </c>
      <c r="C1759" t="s">
        <v>82</v>
      </c>
      <c r="D1759" t="s">
        <v>33</v>
      </c>
      <c r="E1759" s="1">
        <v>45204</v>
      </c>
      <c r="F1759" s="1">
        <v>45209</v>
      </c>
      <c r="G1759">
        <v>59.3</v>
      </c>
      <c r="H1759">
        <v>388.44</v>
      </c>
      <c r="I1759" t="s">
        <v>16</v>
      </c>
      <c r="J1759">
        <v>2161</v>
      </c>
      <c r="K1759">
        <v>5</v>
      </c>
    </row>
    <row r="1760" spans="1:11">
      <c r="A1760" t="s">
        <v>1807</v>
      </c>
      <c r="B1760" t="s">
        <v>24</v>
      </c>
      <c r="C1760" t="s">
        <v>25</v>
      </c>
      <c r="D1760" t="s">
        <v>15</v>
      </c>
      <c r="E1760" s="1">
        <v>45082</v>
      </c>
      <c r="F1760" s="1">
        <v>45084</v>
      </c>
      <c r="G1760">
        <v>13.1</v>
      </c>
      <c r="H1760">
        <v>85.44</v>
      </c>
      <c r="I1760" t="s">
        <v>16</v>
      </c>
      <c r="J1760">
        <v>610</v>
      </c>
      <c r="K1760">
        <v>2</v>
      </c>
    </row>
    <row r="1761" spans="1:11">
      <c r="A1761" t="s">
        <v>1808</v>
      </c>
      <c r="B1761" t="s">
        <v>50</v>
      </c>
      <c r="C1761" t="s">
        <v>71</v>
      </c>
      <c r="D1761" t="s">
        <v>33</v>
      </c>
      <c r="E1761" s="1">
        <v>45122</v>
      </c>
      <c r="F1761" s="1">
        <v>45125</v>
      </c>
      <c r="G1761">
        <v>20</v>
      </c>
      <c r="H1761">
        <v>140.66</v>
      </c>
      <c r="I1761" t="s">
        <v>16</v>
      </c>
      <c r="J1761">
        <v>847</v>
      </c>
      <c r="K1761">
        <v>3</v>
      </c>
    </row>
    <row r="1762" spans="1:11">
      <c r="A1762" t="s">
        <v>1809</v>
      </c>
      <c r="B1762" t="s">
        <v>50</v>
      </c>
      <c r="C1762" t="s">
        <v>58</v>
      </c>
      <c r="D1762" t="s">
        <v>38</v>
      </c>
      <c r="E1762" s="1">
        <v>45105</v>
      </c>
      <c r="F1762" s="1">
        <v>45113</v>
      </c>
      <c r="G1762">
        <v>49.4</v>
      </c>
      <c r="H1762">
        <v>333.09</v>
      </c>
      <c r="I1762" t="s">
        <v>16</v>
      </c>
      <c r="J1762">
        <v>2256</v>
      </c>
      <c r="K1762">
        <v>8</v>
      </c>
    </row>
    <row r="1763" spans="1:11">
      <c r="A1763" t="s">
        <v>1810</v>
      </c>
      <c r="B1763" t="s">
        <v>57</v>
      </c>
      <c r="C1763" t="s">
        <v>58</v>
      </c>
      <c r="D1763" t="s">
        <v>26</v>
      </c>
      <c r="E1763" s="1">
        <v>45219</v>
      </c>
      <c r="F1763" s="1">
        <v>45223</v>
      </c>
      <c r="G1763">
        <v>23.5</v>
      </c>
      <c r="H1763">
        <v>194.11</v>
      </c>
      <c r="I1763" t="s">
        <v>16</v>
      </c>
      <c r="J1763">
        <v>1324</v>
      </c>
      <c r="K1763">
        <v>4</v>
      </c>
    </row>
    <row r="1764" spans="1:11">
      <c r="A1764" t="s">
        <v>1811</v>
      </c>
      <c r="B1764" t="s">
        <v>36</v>
      </c>
      <c r="C1764" t="s">
        <v>45</v>
      </c>
      <c r="D1764" t="s">
        <v>60</v>
      </c>
      <c r="E1764" s="1">
        <v>45077</v>
      </c>
      <c r="F1764" s="1">
        <v>45082</v>
      </c>
      <c r="G1764">
        <v>85.1</v>
      </c>
      <c r="H1764">
        <v>391.46</v>
      </c>
      <c r="I1764" t="s">
        <v>16</v>
      </c>
      <c r="J1764">
        <v>2467</v>
      </c>
      <c r="K1764">
        <v>5</v>
      </c>
    </row>
    <row r="1765" spans="1:11">
      <c r="A1765" t="s">
        <v>1812</v>
      </c>
      <c r="B1765" t="s">
        <v>21</v>
      </c>
      <c r="C1765" t="s">
        <v>82</v>
      </c>
      <c r="D1765" t="s">
        <v>43</v>
      </c>
      <c r="E1765" s="1">
        <v>45070</v>
      </c>
      <c r="F1765" s="1">
        <v>45074</v>
      </c>
      <c r="G1765">
        <v>41.4</v>
      </c>
      <c r="H1765">
        <v>251.14</v>
      </c>
      <c r="I1765" t="s">
        <v>16</v>
      </c>
      <c r="J1765">
        <v>1801</v>
      </c>
      <c r="K1765">
        <v>4</v>
      </c>
    </row>
    <row r="1766" spans="1:11">
      <c r="A1766" t="s">
        <v>1813</v>
      </c>
      <c r="B1766" t="s">
        <v>28</v>
      </c>
      <c r="C1766" t="s">
        <v>25</v>
      </c>
      <c r="D1766" t="s">
        <v>33</v>
      </c>
      <c r="E1766" s="1">
        <v>45181</v>
      </c>
      <c r="F1766" s="1">
        <v>45184</v>
      </c>
      <c r="G1766">
        <v>5.3</v>
      </c>
      <c r="H1766">
        <v>76.55</v>
      </c>
      <c r="I1766" t="s">
        <v>16</v>
      </c>
      <c r="J1766">
        <v>559</v>
      </c>
      <c r="K1766">
        <v>3</v>
      </c>
    </row>
    <row r="1767" spans="1:11">
      <c r="A1767" t="s">
        <v>1814</v>
      </c>
      <c r="B1767" t="s">
        <v>36</v>
      </c>
      <c r="C1767" t="s">
        <v>45</v>
      </c>
      <c r="D1767" t="s">
        <v>15</v>
      </c>
      <c r="E1767" s="1">
        <v>44983</v>
      </c>
      <c r="F1767" s="1">
        <v>44985</v>
      </c>
      <c r="G1767">
        <v>122.7</v>
      </c>
      <c r="H1767">
        <v>288.29000000000002</v>
      </c>
      <c r="I1767" t="s">
        <v>16</v>
      </c>
      <c r="J1767">
        <v>962</v>
      </c>
      <c r="K1767">
        <v>2</v>
      </c>
    </row>
    <row r="1768" spans="1:11">
      <c r="A1768" t="s">
        <v>1815</v>
      </c>
      <c r="B1768" t="s">
        <v>24</v>
      </c>
      <c r="C1768" t="s">
        <v>71</v>
      </c>
      <c r="D1768" t="s">
        <v>26</v>
      </c>
      <c r="E1768" s="1">
        <v>45059</v>
      </c>
      <c r="F1768" s="1">
        <v>45064</v>
      </c>
      <c r="G1768">
        <v>24.4</v>
      </c>
      <c r="H1768">
        <v>321.82</v>
      </c>
      <c r="I1768" t="s">
        <v>16</v>
      </c>
      <c r="J1768">
        <v>2429</v>
      </c>
      <c r="K1768">
        <v>5</v>
      </c>
    </row>
    <row r="1769" spans="1:11">
      <c r="A1769" t="s">
        <v>1816</v>
      </c>
      <c r="B1769" t="s">
        <v>28</v>
      </c>
      <c r="C1769" t="s">
        <v>41</v>
      </c>
      <c r="D1769" t="s">
        <v>15</v>
      </c>
      <c r="E1769" s="1">
        <v>45084</v>
      </c>
      <c r="F1769" s="1">
        <v>45089</v>
      </c>
      <c r="G1769">
        <v>6.1</v>
      </c>
      <c r="H1769">
        <v>279.81</v>
      </c>
      <c r="I1769" t="s">
        <v>16</v>
      </c>
      <c r="J1769">
        <v>2102</v>
      </c>
      <c r="K1769">
        <v>5</v>
      </c>
    </row>
    <row r="1770" spans="1:11">
      <c r="A1770" t="s">
        <v>1817</v>
      </c>
      <c r="B1770" t="s">
        <v>40</v>
      </c>
      <c r="C1770" t="s">
        <v>32</v>
      </c>
      <c r="D1770" t="s">
        <v>19</v>
      </c>
      <c r="E1770" s="1">
        <v>45214</v>
      </c>
      <c r="F1770" s="1">
        <v>45217</v>
      </c>
      <c r="G1770">
        <v>18.100000000000001</v>
      </c>
      <c r="H1770">
        <v>148.79</v>
      </c>
      <c r="I1770" t="s">
        <v>16</v>
      </c>
      <c r="J1770">
        <v>914</v>
      </c>
      <c r="K1770">
        <v>3</v>
      </c>
    </row>
    <row r="1771" spans="1:11">
      <c r="A1771" t="s">
        <v>1818</v>
      </c>
      <c r="B1771" t="s">
        <v>57</v>
      </c>
      <c r="C1771" t="s">
        <v>55</v>
      </c>
      <c r="D1771" t="s">
        <v>26</v>
      </c>
      <c r="E1771" s="1">
        <v>45004</v>
      </c>
      <c r="F1771" s="1">
        <v>45009</v>
      </c>
      <c r="G1771">
        <v>3.5</v>
      </c>
      <c r="H1771">
        <v>215.07</v>
      </c>
      <c r="I1771" t="s">
        <v>16</v>
      </c>
      <c r="J1771">
        <v>1843</v>
      </c>
      <c r="K1771">
        <v>5</v>
      </c>
    </row>
    <row r="1772" spans="1:11">
      <c r="A1772" t="s">
        <v>1819</v>
      </c>
      <c r="B1772" t="s">
        <v>21</v>
      </c>
      <c r="C1772" t="s">
        <v>41</v>
      </c>
      <c r="D1772" t="s">
        <v>15</v>
      </c>
      <c r="E1772" s="1">
        <v>45006</v>
      </c>
      <c r="F1772" s="1">
        <v>45008</v>
      </c>
      <c r="G1772">
        <v>15.8</v>
      </c>
      <c r="H1772">
        <v>132.30000000000001</v>
      </c>
      <c r="I1772" t="s">
        <v>16</v>
      </c>
      <c r="J1772">
        <v>878</v>
      </c>
      <c r="K1772">
        <v>2</v>
      </c>
    </row>
    <row r="1773" spans="1:11">
      <c r="A1773" t="s">
        <v>1820</v>
      </c>
      <c r="B1773" t="s">
        <v>50</v>
      </c>
      <c r="C1773" t="s">
        <v>37</v>
      </c>
      <c r="D1773" t="s">
        <v>33</v>
      </c>
      <c r="E1773" s="1">
        <v>45096</v>
      </c>
      <c r="F1773" s="1">
        <v>45101</v>
      </c>
      <c r="G1773">
        <v>40.700000000000003</v>
      </c>
      <c r="H1773">
        <v>168.17</v>
      </c>
      <c r="I1773" t="s">
        <v>16</v>
      </c>
      <c r="J1773">
        <v>816</v>
      </c>
      <c r="K1773">
        <v>5</v>
      </c>
    </row>
    <row r="1774" spans="1:11">
      <c r="A1774" t="s">
        <v>1821</v>
      </c>
      <c r="B1774" t="s">
        <v>31</v>
      </c>
      <c r="C1774" t="s">
        <v>55</v>
      </c>
      <c r="D1774" t="s">
        <v>19</v>
      </c>
      <c r="E1774" s="1">
        <v>45221</v>
      </c>
      <c r="F1774" s="1">
        <v>45229</v>
      </c>
      <c r="G1774">
        <v>33.700000000000003</v>
      </c>
      <c r="H1774">
        <v>402.35</v>
      </c>
      <c r="I1774" t="s">
        <v>16</v>
      </c>
      <c r="J1774">
        <v>2414</v>
      </c>
      <c r="K1774">
        <v>8</v>
      </c>
    </row>
    <row r="1775" spans="1:11">
      <c r="A1775" t="s">
        <v>1822</v>
      </c>
      <c r="B1775" t="s">
        <v>21</v>
      </c>
      <c r="C1775" t="s">
        <v>45</v>
      </c>
      <c r="D1775" t="s">
        <v>26</v>
      </c>
      <c r="E1775" s="1">
        <v>45046</v>
      </c>
      <c r="F1775" s="1">
        <v>45047</v>
      </c>
      <c r="G1775">
        <v>27</v>
      </c>
      <c r="H1775">
        <v>79.510000000000005</v>
      </c>
      <c r="I1775" t="s">
        <v>16</v>
      </c>
      <c r="J1775">
        <v>391</v>
      </c>
      <c r="K1775">
        <v>1</v>
      </c>
    </row>
    <row r="1776" spans="1:11">
      <c r="A1776" t="s">
        <v>1823</v>
      </c>
      <c r="B1776" t="s">
        <v>24</v>
      </c>
      <c r="C1776" t="s">
        <v>25</v>
      </c>
      <c r="D1776" t="s">
        <v>33</v>
      </c>
      <c r="E1776" s="1">
        <v>45096</v>
      </c>
      <c r="F1776" s="1">
        <v>45102</v>
      </c>
      <c r="G1776">
        <v>9.6999999999999993</v>
      </c>
      <c r="H1776">
        <v>119.44</v>
      </c>
      <c r="I1776" t="s">
        <v>16</v>
      </c>
      <c r="J1776">
        <v>757</v>
      </c>
      <c r="K1776">
        <v>6</v>
      </c>
    </row>
    <row r="1777" spans="1:11">
      <c r="A1777" t="s">
        <v>1824</v>
      </c>
      <c r="B1777" t="s">
        <v>13</v>
      </c>
      <c r="C1777" t="s">
        <v>37</v>
      </c>
      <c r="D1777" t="s">
        <v>33</v>
      </c>
      <c r="E1777" s="1">
        <v>45012</v>
      </c>
      <c r="F1777" s="1">
        <v>45021</v>
      </c>
      <c r="G1777">
        <v>12.8</v>
      </c>
      <c r="H1777">
        <v>331.5</v>
      </c>
      <c r="I1777" t="s">
        <v>16</v>
      </c>
      <c r="J1777">
        <v>2488</v>
      </c>
      <c r="K1777">
        <v>9</v>
      </c>
    </row>
    <row r="1778" spans="1:11">
      <c r="A1778" t="s">
        <v>1825</v>
      </c>
      <c r="B1778" t="s">
        <v>57</v>
      </c>
      <c r="C1778" t="s">
        <v>41</v>
      </c>
      <c r="D1778" t="s">
        <v>26</v>
      </c>
      <c r="E1778" s="1">
        <v>45220</v>
      </c>
      <c r="F1778" s="1">
        <v>45225</v>
      </c>
      <c r="G1778">
        <v>6.3</v>
      </c>
      <c r="H1778">
        <v>282.62</v>
      </c>
      <c r="I1778" t="s">
        <v>16</v>
      </c>
      <c r="J1778">
        <v>2188</v>
      </c>
      <c r="K1778">
        <v>5</v>
      </c>
    </row>
    <row r="1779" spans="1:11">
      <c r="A1779" t="s">
        <v>1826</v>
      </c>
      <c r="B1779" t="s">
        <v>36</v>
      </c>
      <c r="C1779" t="s">
        <v>58</v>
      </c>
      <c r="D1779" t="s">
        <v>60</v>
      </c>
      <c r="E1779" s="1">
        <v>45119</v>
      </c>
      <c r="F1779" s="1">
        <v>45122</v>
      </c>
      <c r="G1779">
        <v>23.1</v>
      </c>
      <c r="H1779">
        <v>204.7</v>
      </c>
      <c r="I1779" t="s">
        <v>16</v>
      </c>
      <c r="J1779">
        <v>1547</v>
      </c>
      <c r="K1779">
        <v>3</v>
      </c>
    </row>
    <row r="1780" spans="1:11">
      <c r="A1780" t="s">
        <v>1827</v>
      </c>
      <c r="B1780" t="s">
        <v>50</v>
      </c>
      <c r="C1780" t="s">
        <v>18</v>
      </c>
      <c r="D1780" t="s">
        <v>33</v>
      </c>
      <c r="E1780" s="1">
        <v>45139</v>
      </c>
      <c r="F1780" s="1">
        <v>45141</v>
      </c>
      <c r="G1780">
        <v>10.3</v>
      </c>
      <c r="H1780">
        <v>47.05</v>
      </c>
      <c r="I1780" t="s">
        <v>16</v>
      </c>
      <c r="J1780">
        <v>224</v>
      </c>
      <c r="K1780">
        <v>2</v>
      </c>
    </row>
    <row r="1781" spans="1:11">
      <c r="A1781" t="s">
        <v>1828</v>
      </c>
      <c r="B1781" t="s">
        <v>24</v>
      </c>
      <c r="C1781" t="s">
        <v>22</v>
      </c>
      <c r="D1781" t="s">
        <v>19</v>
      </c>
      <c r="E1781" s="1">
        <v>45237</v>
      </c>
      <c r="F1781" s="1">
        <v>45240</v>
      </c>
      <c r="G1781">
        <v>73.900000000000006</v>
      </c>
      <c r="H1781">
        <v>268.7</v>
      </c>
      <c r="I1781" t="s">
        <v>16</v>
      </c>
      <c r="J1781">
        <v>747</v>
      </c>
      <c r="K1781">
        <v>3</v>
      </c>
    </row>
    <row r="1782" spans="1:11">
      <c r="A1782" t="s">
        <v>1829</v>
      </c>
      <c r="B1782" t="s">
        <v>57</v>
      </c>
      <c r="C1782" t="s">
        <v>55</v>
      </c>
      <c r="D1782" t="s">
        <v>60</v>
      </c>
      <c r="E1782" s="1">
        <v>45147</v>
      </c>
      <c r="F1782" s="1">
        <v>45150</v>
      </c>
      <c r="G1782">
        <v>47.3</v>
      </c>
      <c r="H1782">
        <v>215.93</v>
      </c>
      <c r="I1782" t="s">
        <v>61</v>
      </c>
      <c r="J1782">
        <v>1552</v>
      </c>
      <c r="K1782">
        <v>3</v>
      </c>
    </row>
    <row r="1783" spans="1:11">
      <c r="A1783" t="s">
        <v>1830</v>
      </c>
      <c r="B1783" t="s">
        <v>40</v>
      </c>
      <c r="C1783" t="s">
        <v>41</v>
      </c>
      <c r="D1783" t="s">
        <v>26</v>
      </c>
      <c r="E1783" s="1">
        <v>45171</v>
      </c>
      <c r="F1783" s="1">
        <v>45177</v>
      </c>
      <c r="G1783">
        <v>30.5</v>
      </c>
      <c r="H1783">
        <v>322.75</v>
      </c>
      <c r="I1783" t="s">
        <v>16</v>
      </c>
      <c r="J1783">
        <v>2410</v>
      </c>
      <c r="K1783">
        <v>6</v>
      </c>
    </row>
    <row r="1784" spans="1:11">
      <c r="A1784" t="s">
        <v>1831</v>
      </c>
      <c r="B1784" t="s">
        <v>28</v>
      </c>
      <c r="C1784" t="s">
        <v>82</v>
      </c>
      <c r="D1784" t="s">
        <v>15</v>
      </c>
      <c r="E1784" s="1">
        <v>45232</v>
      </c>
      <c r="F1784" s="1">
        <v>45233</v>
      </c>
      <c r="G1784">
        <v>14.7</v>
      </c>
      <c r="H1784">
        <v>81.27</v>
      </c>
      <c r="I1784" t="s">
        <v>16</v>
      </c>
      <c r="J1784">
        <v>395</v>
      </c>
      <c r="K1784">
        <v>1</v>
      </c>
    </row>
    <row r="1785" spans="1:11">
      <c r="A1785" t="s">
        <v>1832</v>
      </c>
      <c r="B1785" t="s">
        <v>50</v>
      </c>
      <c r="C1785" t="s">
        <v>14</v>
      </c>
      <c r="D1785" t="s">
        <v>19</v>
      </c>
      <c r="E1785" s="1">
        <v>44947</v>
      </c>
      <c r="F1785" s="1">
        <v>44950</v>
      </c>
      <c r="G1785">
        <v>12.6</v>
      </c>
      <c r="H1785">
        <v>201.27</v>
      </c>
      <c r="I1785" t="s">
        <v>16</v>
      </c>
      <c r="J1785">
        <v>1462</v>
      </c>
      <c r="K1785">
        <v>3</v>
      </c>
    </row>
    <row r="1786" spans="1:11">
      <c r="A1786" t="s">
        <v>1833</v>
      </c>
      <c r="B1786" t="s">
        <v>52</v>
      </c>
      <c r="C1786" t="s">
        <v>37</v>
      </c>
      <c r="D1786" t="s">
        <v>26</v>
      </c>
      <c r="E1786" s="1">
        <v>45007</v>
      </c>
      <c r="F1786" s="1">
        <v>45011</v>
      </c>
      <c r="G1786">
        <v>28.8</v>
      </c>
      <c r="H1786">
        <v>183.25</v>
      </c>
      <c r="I1786" t="s">
        <v>16</v>
      </c>
      <c r="J1786">
        <v>1399</v>
      </c>
      <c r="K1786">
        <v>4</v>
      </c>
    </row>
    <row r="1787" spans="1:11">
      <c r="A1787" t="s">
        <v>1834</v>
      </c>
      <c r="B1787" t="s">
        <v>52</v>
      </c>
      <c r="C1787" t="s">
        <v>25</v>
      </c>
      <c r="D1787" t="s">
        <v>33</v>
      </c>
      <c r="E1787" s="1">
        <v>45047</v>
      </c>
      <c r="F1787" s="1">
        <v>45052</v>
      </c>
      <c r="G1787">
        <v>45.7</v>
      </c>
      <c r="H1787">
        <v>206.4</v>
      </c>
      <c r="I1787" t="s">
        <v>16</v>
      </c>
      <c r="J1787">
        <v>1025</v>
      </c>
      <c r="K1787">
        <v>5</v>
      </c>
    </row>
    <row r="1788" spans="1:11">
      <c r="A1788" t="s">
        <v>1835</v>
      </c>
      <c r="B1788" t="s">
        <v>50</v>
      </c>
      <c r="C1788" t="s">
        <v>32</v>
      </c>
      <c r="D1788" t="s">
        <v>26</v>
      </c>
      <c r="E1788" s="1">
        <v>44999</v>
      </c>
      <c r="F1788" s="1">
        <v>45000</v>
      </c>
      <c r="G1788">
        <v>24.3</v>
      </c>
      <c r="H1788">
        <v>45.64</v>
      </c>
      <c r="I1788" t="s">
        <v>16</v>
      </c>
      <c r="J1788">
        <v>118</v>
      </c>
      <c r="K1788">
        <v>1</v>
      </c>
    </row>
    <row r="1789" spans="1:11">
      <c r="A1789" t="s">
        <v>1836</v>
      </c>
      <c r="B1789" t="s">
        <v>57</v>
      </c>
      <c r="C1789" t="s">
        <v>53</v>
      </c>
      <c r="D1789" t="s">
        <v>38</v>
      </c>
      <c r="E1789" s="1">
        <v>45286</v>
      </c>
      <c r="F1789" s="1">
        <v>45289</v>
      </c>
      <c r="G1789">
        <v>22.5</v>
      </c>
      <c r="H1789">
        <v>199.07</v>
      </c>
      <c r="I1789" t="s">
        <v>16</v>
      </c>
      <c r="J1789">
        <v>1226</v>
      </c>
      <c r="K1789">
        <v>3</v>
      </c>
    </row>
    <row r="1790" spans="1:11">
      <c r="A1790" t="s">
        <v>1837</v>
      </c>
      <c r="B1790" t="s">
        <v>21</v>
      </c>
      <c r="C1790" t="s">
        <v>37</v>
      </c>
      <c r="D1790" t="s">
        <v>26</v>
      </c>
      <c r="E1790" s="1">
        <v>45267</v>
      </c>
      <c r="F1790" s="1">
        <v>45281</v>
      </c>
      <c r="G1790">
        <v>48.8</v>
      </c>
      <c r="H1790">
        <v>347.95</v>
      </c>
      <c r="I1790" t="s">
        <v>48</v>
      </c>
      <c r="J1790">
        <v>2192</v>
      </c>
      <c r="K1790">
        <v>6</v>
      </c>
    </row>
    <row r="1791" spans="1:11">
      <c r="A1791" t="s">
        <v>1838</v>
      </c>
      <c r="B1791" t="s">
        <v>52</v>
      </c>
      <c r="C1791" t="s">
        <v>45</v>
      </c>
      <c r="D1791" t="s">
        <v>15</v>
      </c>
      <c r="E1791" s="1">
        <v>45045</v>
      </c>
      <c r="F1791" s="1">
        <v>45047</v>
      </c>
      <c r="G1791">
        <v>7.9</v>
      </c>
      <c r="H1791">
        <v>99.83</v>
      </c>
      <c r="I1791" t="s">
        <v>16</v>
      </c>
      <c r="J1791">
        <v>790</v>
      </c>
      <c r="K1791">
        <v>2</v>
      </c>
    </row>
    <row r="1792" spans="1:11">
      <c r="A1792" t="s">
        <v>1839</v>
      </c>
      <c r="B1792" t="s">
        <v>28</v>
      </c>
      <c r="C1792" t="s">
        <v>82</v>
      </c>
      <c r="D1792" t="s">
        <v>15</v>
      </c>
      <c r="E1792" s="1">
        <v>45225</v>
      </c>
      <c r="F1792" s="1">
        <v>45235</v>
      </c>
      <c r="G1792">
        <v>34</v>
      </c>
      <c r="H1792">
        <v>316.69</v>
      </c>
      <c r="I1792" t="s">
        <v>48</v>
      </c>
      <c r="J1792">
        <v>2072</v>
      </c>
      <c r="K1792">
        <v>6</v>
      </c>
    </row>
    <row r="1793" spans="1:11">
      <c r="A1793" t="s">
        <v>1840</v>
      </c>
      <c r="B1793" t="s">
        <v>31</v>
      </c>
      <c r="C1793" t="s">
        <v>32</v>
      </c>
      <c r="D1793" t="s">
        <v>15</v>
      </c>
      <c r="E1793" s="1">
        <v>44987</v>
      </c>
      <c r="F1793" s="1">
        <v>44990</v>
      </c>
      <c r="G1793">
        <v>21.9</v>
      </c>
      <c r="H1793">
        <v>174.25</v>
      </c>
      <c r="I1793" t="s">
        <v>16</v>
      </c>
      <c r="J1793">
        <v>1073</v>
      </c>
      <c r="K1793">
        <v>3</v>
      </c>
    </row>
    <row r="1794" spans="1:11">
      <c r="A1794" t="s">
        <v>1841</v>
      </c>
      <c r="B1794" t="s">
        <v>57</v>
      </c>
      <c r="C1794" t="s">
        <v>14</v>
      </c>
      <c r="D1794" t="s">
        <v>38</v>
      </c>
      <c r="E1794" s="1">
        <v>44961</v>
      </c>
      <c r="F1794" s="1">
        <v>44964</v>
      </c>
      <c r="G1794">
        <v>17.899999999999999</v>
      </c>
      <c r="H1794">
        <v>54.51</v>
      </c>
      <c r="I1794" t="s">
        <v>16</v>
      </c>
      <c r="J1794">
        <v>255</v>
      </c>
      <c r="K1794">
        <v>3</v>
      </c>
    </row>
    <row r="1795" spans="1:11">
      <c r="A1795" t="s">
        <v>1842</v>
      </c>
      <c r="B1795" t="s">
        <v>57</v>
      </c>
      <c r="C1795" t="s">
        <v>41</v>
      </c>
      <c r="D1795" t="s">
        <v>15</v>
      </c>
      <c r="E1795" s="1">
        <v>45226</v>
      </c>
      <c r="F1795" s="1">
        <v>45229</v>
      </c>
      <c r="G1795">
        <v>7.9</v>
      </c>
      <c r="H1795">
        <v>111.49</v>
      </c>
      <c r="I1795" t="s">
        <v>16</v>
      </c>
      <c r="J1795">
        <v>865</v>
      </c>
      <c r="K1795">
        <v>3</v>
      </c>
    </row>
    <row r="1796" spans="1:11">
      <c r="A1796" t="s">
        <v>1843</v>
      </c>
      <c r="B1796" t="s">
        <v>21</v>
      </c>
      <c r="C1796" t="s">
        <v>58</v>
      </c>
      <c r="D1796" t="s">
        <v>26</v>
      </c>
      <c r="E1796" s="1">
        <v>45035</v>
      </c>
      <c r="F1796" s="1">
        <v>45042</v>
      </c>
      <c r="G1796">
        <v>6.7</v>
      </c>
      <c r="H1796">
        <v>213.54</v>
      </c>
      <c r="I1796" t="s">
        <v>63</v>
      </c>
      <c r="J1796">
        <v>1694</v>
      </c>
      <c r="K1796">
        <v>7</v>
      </c>
    </row>
    <row r="1797" spans="1:11">
      <c r="A1797" t="s">
        <v>1844</v>
      </c>
      <c r="B1797" t="s">
        <v>31</v>
      </c>
      <c r="C1797" t="s">
        <v>71</v>
      </c>
      <c r="D1797" t="s">
        <v>33</v>
      </c>
      <c r="E1797" s="1">
        <v>45033</v>
      </c>
      <c r="F1797" s="1">
        <v>45039</v>
      </c>
      <c r="G1797">
        <v>5.0999999999999996</v>
      </c>
      <c r="H1797">
        <v>175.6</v>
      </c>
      <c r="I1797" t="s">
        <v>16</v>
      </c>
      <c r="J1797">
        <v>1317</v>
      </c>
      <c r="K1797">
        <v>6</v>
      </c>
    </row>
    <row r="1798" spans="1:11">
      <c r="A1798" t="s">
        <v>1845</v>
      </c>
      <c r="B1798" t="s">
        <v>13</v>
      </c>
      <c r="C1798" t="s">
        <v>37</v>
      </c>
      <c r="D1798" t="s">
        <v>60</v>
      </c>
      <c r="E1798" s="1">
        <v>45076</v>
      </c>
      <c r="F1798" s="1">
        <v>45078</v>
      </c>
      <c r="G1798">
        <v>13.1</v>
      </c>
      <c r="H1798">
        <v>82.17</v>
      </c>
      <c r="I1798" t="s">
        <v>16</v>
      </c>
      <c r="J1798">
        <v>645</v>
      </c>
      <c r="K1798">
        <v>2</v>
      </c>
    </row>
    <row r="1799" spans="1:11">
      <c r="A1799" t="s">
        <v>1846</v>
      </c>
      <c r="B1799" t="s">
        <v>52</v>
      </c>
      <c r="C1799" t="s">
        <v>45</v>
      </c>
      <c r="D1799" t="s">
        <v>60</v>
      </c>
      <c r="E1799" s="1">
        <v>45074</v>
      </c>
      <c r="F1799" s="1">
        <v>45076</v>
      </c>
      <c r="G1799">
        <v>19.5</v>
      </c>
      <c r="H1799">
        <v>122.68</v>
      </c>
      <c r="I1799" t="s">
        <v>16</v>
      </c>
      <c r="J1799">
        <v>790</v>
      </c>
      <c r="K1799">
        <v>2</v>
      </c>
    </row>
    <row r="1800" spans="1:11">
      <c r="A1800" t="s">
        <v>1847</v>
      </c>
      <c r="B1800" t="s">
        <v>50</v>
      </c>
      <c r="C1800" t="s">
        <v>32</v>
      </c>
      <c r="D1800" t="s">
        <v>26</v>
      </c>
      <c r="E1800" s="1">
        <v>45039</v>
      </c>
      <c r="F1800" s="1">
        <v>45042</v>
      </c>
      <c r="G1800">
        <v>12.1</v>
      </c>
      <c r="H1800">
        <v>147.53</v>
      </c>
      <c r="I1800" t="s">
        <v>16</v>
      </c>
      <c r="J1800">
        <v>1172</v>
      </c>
      <c r="K1800">
        <v>3</v>
      </c>
    </row>
    <row r="1801" spans="1:11">
      <c r="A1801" t="s">
        <v>1848</v>
      </c>
      <c r="B1801" t="s">
        <v>36</v>
      </c>
      <c r="C1801" t="s">
        <v>18</v>
      </c>
      <c r="D1801" t="s">
        <v>26</v>
      </c>
      <c r="E1801" s="1">
        <v>45138</v>
      </c>
      <c r="F1801" s="1">
        <v>45142</v>
      </c>
      <c r="G1801">
        <v>24.6</v>
      </c>
      <c r="H1801">
        <v>231.44</v>
      </c>
      <c r="I1801" t="s">
        <v>16</v>
      </c>
      <c r="J1801">
        <v>1711</v>
      </c>
      <c r="K1801">
        <v>4</v>
      </c>
    </row>
    <row r="1802" spans="1:11">
      <c r="A1802" t="s">
        <v>1849</v>
      </c>
      <c r="B1802" t="s">
        <v>40</v>
      </c>
      <c r="C1802" t="s">
        <v>29</v>
      </c>
      <c r="D1802" t="s">
        <v>26</v>
      </c>
      <c r="E1802" s="1">
        <v>44998</v>
      </c>
      <c r="F1802" s="1">
        <v>45003</v>
      </c>
      <c r="G1802">
        <v>17.7</v>
      </c>
      <c r="H1802">
        <v>325.61</v>
      </c>
      <c r="I1802" t="s">
        <v>16</v>
      </c>
      <c r="J1802">
        <v>2345</v>
      </c>
      <c r="K1802">
        <v>5</v>
      </c>
    </row>
    <row r="1803" spans="1:11">
      <c r="A1803" t="s">
        <v>1850</v>
      </c>
      <c r="B1803" t="s">
        <v>21</v>
      </c>
      <c r="C1803" t="s">
        <v>71</v>
      </c>
      <c r="D1803" t="s">
        <v>19</v>
      </c>
      <c r="E1803" s="1">
        <v>45115</v>
      </c>
      <c r="F1803" s="1">
        <v>45117</v>
      </c>
      <c r="G1803">
        <v>61.4</v>
      </c>
      <c r="H1803">
        <v>111.25</v>
      </c>
      <c r="I1803" t="s">
        <v>16</v>
      </c>
      <c r="J1803">
        <v>128</v>
      </c>
      <c r="K1803">
        <v>2</v>
      </c>
    </row>
    <row r="1804" spans="1:11">
      <c r="A1804" t="s">
        <v>1851</v>
      </c>
      <c r="B1804" t="s">
        <v>28</v>
      </c>
      <c r="C1804" t="s">
        <v>14</v>
      </c>
      <c r="D1804" t="s">
        <v>33</v>
      </c>
      <c r="E1804" s="1">
        <v>44944</v>
      </c>
      <c r="F1804" s="1">
        <v>44950</v>
      </c>
      <c r="G1804">
        <v>13.6</v>
      </c>
      <c r="H1804">
        <v>260.64999999999998</v>
      </c>
      <c r="I1804" t="s">
        <v>16</v>
      </c>
      <c r="J1804">
        <v>2044</v>
      </c>
      <c r="K1804">
        <v>6</v>
      </c>
    </row>
    <row r="1805" spans="1:11">
      <c r="A1805" t="s">
        <v>1852</v>
      </c>
      <c r="B1805" t="s">
        <v>21</v>
      </c>
      <c r="C1805" t="s">
        <v>29</v>
      </c>
      <c r="D1805" t="s">
        <v>60</v>
      </c>
      <c r="E1805" s="1">
        <v>45141</v>
      </c>
      <c r="F1805" s="1">
        <v>45147</v>
      </c>
      <c r="G1805">
        <v>29.4</v>
      </c>
      <c r="H1805">
        <v>212.9</v>
      </c>
      <c r="I1805" t="s">
        <v>63</v>
      </c>
      <c r="J1805">
        <v>1435</v>
      </c>
      <c r="K1805">
        <v>6</v>
      </c>
    </row>
    <row r="1806" spans="1:11">
      <c r="A1806" t="s">
        <v>1853</v>
      </c>
      <c r="B1806" t="s">
        <v>40</v>
      </c>
      <c r="C1806" t="s">
        <v>55</v>
      </c>
      <c r="D1806" t="s">
        <v>33</v>
      </c>
      <c r="E1806" s="1">
        <v>45227</v>
      </c>
      <c r="F1806" s="1">
        <v>45243</v>
      </c>
      <c r="G1806">
        <v>14.7</v>
      </c>
      <c r="H1806">
        <v>224.05</v>
      </c>
      <c r="I1806" t="s">
        <v>48</v>
      </c>
      <c r="J1806">
        <v>1715</v>
      </c>
      <c r="K1806">
        <v>5</v>
      </c>
    </row>
    <row r="1807" spans="1:11">
      <c r="A1807" t="s">
        <v>1854</v>
      </c>
      <c r="B1807" t="s">
        <v>31</v>
      </c>
      <c r="C1807" t="s">
        <v>53</v>
      </c>
      <c r="D1807" t="s">
        <v>19</v>
      </c>
      <c r="E1807" s="1">
        <v>45279</v>
      </c>
      <c r="F1807" s="1">
        <v>45283</v>
      </c>
      <c r="G1807">
        <v>7.4</v>
      </c>
      <c r="H1807">
        <v>323.36</v>
      </c>
      <c r="I1807" t="s">
        <v>16</v>
      </c>
      <c r="J1807">
        <v>1880</v>
      </c>
      <c r="K1807">
        <v>4</v>
      </c>
    </row>
    <row r="1808" spans="1:11">
      <c r="A1808" t="s">
        <v>1855</v>
      </c>
      <c r="B1808" t="s">
        <v>52</v>
      </c>
      <c r="C1808" t="s">
        <v>22</v>
      </c>
      <c r="D1808" t="s">
        <v>26</v>
      </c>
      <c r="E1808" s="1">
        <v>45111</v>
      </c>
      <c r="F1808" s="1">
        <v>45117</v>
      </c>
      <c r="G1808">
        <v>16.2</v>
      </c>
      <c r="H1808">
        <v>245.98</v>
      </c>
      <c r="I1808" t="s">
        <v>16</v>
      </c>
      <c r="J1808">
        <v>1870</v>
      </c>
      <c r="K1808">
        <v>6</v>
      </c>
    </row>
    <row r="1809" spans="1:11">
      <c r="A1809" t="s">
        <v>1856</v>
      </c>
      <c r="B1809" t="s">
        <v>52</v>
      </c>
      <c r="C1809" t="s">
        <v>37</v>
      </c>
      <c r="D1809" t="s">
        <v>43</v>
      </c>
      <c r="E1809" s="1">
        <v>45113</v>
      </c>
      <c r="F1809" s="1">
        <v>45117</v>
      </c>
      <c r="G1809">
        <v>6.2</v>
      </c>
      <c r="H1809">
        <v>139.44</v>
      </c>
      <c r="I1809" t="s">
        <v>16</v>
      </c>
      <c r="J1809">
        <v>1227</v>
      </c>
      <c r="K1809">
        <v>4</v>
      </c>
    </row>
    <row r="1810" spans="1:11">
      <c r="A1810" t="s">
        <v>1857</v>
      </c>
      <c r="B1810" t="s">
        <v>40</v>
      </c>
      <c r="C1810" t="s">
        <v>14</v>
      </c>
      <c r="D1810" t="s">
        <v>26</v>
      </c>
      <c r="E1810" s="1">
        <v>45062</v>
      </c>
      <c r="F1810" s="1">
        <v>45069</v>
      </c>
      <c r="G1810">
        <v>15.7</v>
      </c>
      <c r="H1810">
        <v>318.83999999999997</v>
      </c>
      <c r="I1810" t="s">
        <v>16</v>
      </c>
      <c r="J1810">
        <v>2321</v>
      </c>
      <c r="K1810">
        <v>7</v>
      </c>
    </row>
    <row r="1811" spans="1:11">
      <c r="A1811" t="s">
        <v>1858</v>
      </c>
      <c r="B1811" t="s">
        <v>57</v>
      </c>
      <c r="C1811" t="s">
        <v>18</v>
      </c>
      <c r="D1811" t="s">
        <v>60</v>
      </c>
      <c r="E1811" s="1">
        <v>45119</v>
      </c>
      <c r="F1811" s="1">
        <v>45123</v>
      </c>
      <c r="G1811">
        <v>30.2</v>
      </c>
      <c r="I1811" t="s">
        <v>16</v>
      </c>
      <c r="J1811">
        <v>1393</v>
      </c>
      <c r="K1811">
        <v>4</v>
      </c>
    </row>
    <row r="1812" spans="1:11">
      <c r="A1812" t="s">
        <v>1859</v>
      </c>
      <c r="B1812" t="s">
        <v>31</v>
      </c>
      <c r="C1812" t="s">
        <v>18</v>
      </c>
      <c r="D1812" t="s">
        <v>33</v>
      </c>
      <c r="E1812" s="1">
        <v>45128</v>
      </c>
      <c r="F1812" s="1">
        <v>45136</v>
      </c>
      <c r="G1812">
        <v>32.799999999999997</v>
      </c>
      <c r="H1812">
        <v>360.03</v>
      </c>
      <c r="I1812" t="s">
        <v>16</v>
      </c>
      <c r="J1812">
        <v>2464</v>
      </c>
      <c r="K1812">
        <v>8</v>
      </c>
    </row>
    <row r="1813" spans="1:11">
      <c r="A1813" t="s">
        <v>1860</v>
      </c>
      <c r="B1813" t="s">
        <v>13</v>
      </c>
      <c r="C1813" t="s">
        <v>41</v>
      </c>
      <c r="D1813" t="s">
        <v>19</v>
      </c>
      <c r="E1813" s="1">
        <v>45032</v>
      </c>
      <c r="F1813" s="1">
        <v>45034</v>
      </c>
      <c r="G1813">
        <v>29.5</v>
      </c>
      <c r="H1813">
        <v>110.42</v>
      </c>
      <c r="I1813" t="s">
        <v>16</v>
      </c>
      <c r="J1813">
        <v>476</v>
      </c>
      <c r="K1813">
        <v>2</v>
      </c>
    </row>
    <row r="1814" spans="1:11">
      <c r="A1814" t="s">
        <v>1861</v>
      </c>
      <c r="B1814" t="s">
        <v>52</v>
      </c>
      <c r="C1814" t="s">
        <v>53</v>
      </c>
      <c r="D1814" t="s">
        <v>26</v>
      </c>
      <c r="E1814" s="1">
        <v>45170</v>
      </c>
      <c r="F1814" s="1">
        <v>45174</v>
      </c>
      <c r="G1814">
        <v>16.7</v>
      </c>
      <c r="H1814">
        <v>203.66</v>
      </c>
      <c r="I1814" t="s">
        <v>16</v>
      </c>
      <c r="J1814">
        <v>1423</v>
      </c>
      <c r="K1814">
        <v>4</v>
      </c>
    </row>
    <row r="1815" spans="1:11">
      <c r="A1815" t="s">
        <v>1862</v>
      </c>
      <c r="B1815" t="s">
        <v>50</v>
      </c>
      <c r="C1815" t="s">
        <v>14</v>
      </c>
      <c r="D1815" t="s">
        <v>33</v>
      </c>
      <c r="E1815" s="1">
        <v>45055</v>
      </c>
      <c r="F1815" s="1">
        <v>45070</v>
      </c>
      <c r="G1815">
        <v>16.600000000000001</v>
      </c>
      <c r="H1815">
        <v>285.36</v>
      </c>
      <c r="I1815" t="s">
        <v>48</v>
      </c>
      <c r="J1815">
        <v>2126</v>
      </c>
      <c r="K1815">
        <v>7</v>
      </c>
    </row>
    <row r="1816" spans="1:11">
      <c r="A1816" t="s">
        <v>1863</v>
      </c>
      <c r="B1816" t="s">
        <v>57</v>
      </c>
      <c r="C1816" t="s">
        <v>14</v>
      </c>
      <c r="D1816" t="s">
        <v>43</v>
      </c>
      <c r="E1816" s="1">
        <v>45212</v>
      </c>
      <c r="F1816" s="1">
        <v>45216</v>
      </c>
      <c r="G1816">
        <v>17</v>
      </c>
      <c r="H1816">
        <v>245.26</v>
      </c>
      <c r="I1816" t="s">
        <v>16</v>
      </c>
      <c r="J1816">
        <v>1731</v>
      </c>
      <c r="K1816">
        <v>4</v>
      </c>
    </row>
    <row r="1817" spans="1:11">
      <c r="A1817" t="s">
        <v>1864</v>
      </c>
      <c r="B1817" t="s">
        <v>21</v>
      </c>
      <c r="C1817" t="s">
        <v>82</v>
      </c>
      <c r="D1817" t="s">
        <v>38</v>
      </c>
      <c r="E1817" s="1">
        <v>45189</v>
      </c>
      <c r="F1817" s="1">
        <v>45191</v>
      </c>
      <c r="G1817">
        <v>30.5</v>
      </c>
      <c r="H1817">
        <v>115.38</v>
      </c>
      <c r="I1817" t="s">
        <v>16</v>
      </c>
      <c r="J1817">
        <v>619</v>
      </c>
      <c r="K1817">
        <v>2</v>
      </c>
    </row>
    <row r="1818" spans="1:11">
      <c r="A1818" t="s">
        <v>1865</v>
      </c>
      <c r="B1818" t="s">
        <v>13</v>
      </c>
      <c r="C1818" t="s">
        <v>58</v>
      </c>
      <c r="D1818" t="s">
        <v>19</v>
      </c>
      <c r="E1818" s="1">
        <v>45071</v>
      </c>
      <c r="F1818" s="1">
        <v>45076</v>
      </c>
      <c r="G1818">
        <v>17.7</v>
      </c>
      <c r="H1818">
        <v>326.89999999999998</v>
      </c>
      <c r="I1818" t="s">
        <v>16</v>
      </c>
      <c r="J1818">
        <v>2208</v>
      </c>
      <c r="K1818">
        <v>5</v>
      </c>
    </row>
    <row r="1819" spans="1:11">
      <c r="A1819" t="s">
        <v>1866</v>
      </c>
      <c r="B1819" t="s">
        <v>36</v>
      </c>
      <c r="C1819" t="s">
        <v>29</v>
      </c>
      <c r="D1819" t="s">
        <v>60</v>
      </c>
      <c r="E1819" s="1">
        <v>45039</v>
      </c>
      <c r="F1819" s="1">
        <v>45043</v>
      </c>
      <c r="G1819">
        <v>11.6</v>
      </c>
      <c r="H1819">
        <v>135.55000000000001</v>
      </c>
      <c r="I1819" t="s">
        <v>16</v>
      </c>
      <c r="J1819">
        <v>1021</v>
      </c>
      <c r="K1819">
        <v>4</v>
      </c>
    </row>
    <row r="1820" spans="1:11">
      <c r="A1820" t="s">
        <v>1867</v>
      </c>
      <c r="B1820" t="s">
        <v>24</v>
      </c>
      <c r="C1820" t="s">
        <v>41</v>
      </c>
      <c r="D1820" t="s">
        <v>26</v>
      </c>
      <c r="E1820" s="1">
        <v>45057</v>
      </c>
      <c r="F1820" s="1">
        <v>45065</v>
      </c>
      <c r="G1820">
        <v>34.6</v>
      </c>
      <c r="H1820">
        <v>319.66000000000003</v>
      </c>
      <c r="I1820" t="s">
        <v>16</v>
      </c>
      <c r="J1820">
        <v>2216</v>
      </c>
      <c r="K1820">
        <v>8</v>
      </c>
    </row>
    <row r="1821" spans="1:11">
      <c r="A1821" t="s">
        <v>1868</v>
      </c>
      <c r="B1821" t="s">
        <v>24</v>
      </c>
      <c r="C1821" t="s">
        <v>82</v>
      </c>
      <c r="D1821" t="s">
        <v>19</v>
      </c>
      <c r="E1821" s="1">
        <v>44980</v>
      </c>
      <c r="F1821" s="1">
        <v>44986</v>
      </c>
      <c r="G1821">
        <v>35.299999999999997</v>
      </c>
      <c r="H1821">
        <v>314.52</v>
      </c>
      <c r="I1821" t="s">
        <v>16</v>
      </c>
      <c r="J1821">
        <v>1724</v>
      </c>
      <c r="K1821">
        <v>6</v>
      </c>
    </row>
    <row r="1822" spans="1:11">
      <c r="A1822" t="s">
        <v>1869</v>
      </c>
      <c r="B1822" t="s">
        <v>28</v>
      </c>
      <c r="C1822" t="s">
        <v>71</v>
      </c>
      <c r="D1822" t="s">
        <v>60</v>
      </c>
      <c r="E1822" s="1">
        <v>45037</v>
      </c>
      <c r="F1822" s="1">
        <v>45043</v>
      </c>
      <c r="G1822">
        <v>5.3</v>
      </c>
      <c r="H1822">
        <v>263.08</v>
      </c>
      <c r="I1822" t="s">
        <v>16</v>
      </c>
      <c r="J1822">
        <v>2362</v>
      </c>
      <c r="K1822">
        <v>6</v>
      </c>
    </row>
    <row r="1823" spans="1:11">
      <c r="A1823" t="s">
        <v>1870</v>
      </c>
      <c r="B1823" t="s">
        <v>13</v>
      </c>
      <c r="C1823" t="s">
        <v>41</v>
      </c>
      <c r="D1823" t="s">
        <v>26</v>
      </c>
      <c r="E1823" s="1">
        <v>45012</v>
      </c>
      <c r="F1823" s="1">
        <v>45017</v>
      </c>
      <c r="G1823">
        <v>32.1</v>
      </c>
      <c r="H1823">
        <v>323.02999999999997</v>
      </c>
      <c r="I1823" t="s">
        <v>16</v>
      </c>
      <c r="J1823">
        <v>2360</v>
      </c>
      <c r="K1823">
        <v>5</v>
      </c>
    </row>
    <row r="1824" spans="1:11">
      <c r="A1824" t="s">
        <v>1871</v>
      </c>
      <c r="B1824" t="s">
        <v>31</v>
      </c>
      <c r="C1824" t="s">
        <v>47</v>
      </c>
      <c r="D1824" t="s">
        <v>26</v>
      </c>
      <c r="E1824" s="1">
        <v>44989</v>
      </c>
      <c r="F1824" s="1">
        <v>44995</v>
      </c>
      <c r="G1824">
        <v>17.100000000000001</v>
      </c>
      <c r="H1824">
        <v>302.85000000000002</v>
      </c>
      <c r="I1824" t="s">
        <v>16</v>
      </c>
      <c r="J1824">
        <v>2450</v>
      </c>
      <c r="K1824">
        <v>6</v>
      </c>
    </row>
    <row r="1825" spans="1:11">
      <c r="A1825" t="s">
        <v>1872</v>
      </c>
      <c r="B1825" t="s">
        <v>40</v>
      </c>
      <c r="C1825" t="s">
        <v>47</v>
      </c>
      <c r="D1825" t="s">
        <v>38</v>
      </c>
      <c r="E1825" s="1">
        <v>45047</v>
      </c>
      <c r="F1825" s="1">
        <v>45051</v>
      </c>
      <c r="G1825">
        <v>7.5</v>
      </c>
      <c r="H1825">
        <v>208.84</v>
      </c>
      <c r="I1825" t="s">
        <v>16</v>
      </c>
      <c r="J1825">
        <v>1642</v>
      </c>
      <c r="K1825">
        <v>4</v>
      </c>
    </row>
    <row r="1826" spans="1:11">
      <c r="A1826" t="s">
        <v>1873</v>
      </c>
      <c r="B1826" t="s">
        <v>40</v>
      </c>
      <c r="C1826" t="s">
        <v>32</v>
      </c>
      <c r="D1826" t="s">
        <v>60</v>
      </c>
      <c r="E1826" s="1">
        <v>44977</v>
      </c>
      <c r="F1826" s="1">
        <v>44984</v>
      </c>
      <c r="G1826">
        <v>89.4</v>
      </c>
      <c r="H1826">
        <v>267.14</v>
      </c>
      <c r="I1826" t="s">
        <v>16</v>
      </c>
      <c r="J1826">
        <v>1548</v>
      </c>
      <c r="K1826">
        <v>7</v>
      </c>
    </row>
    <row r="1827" spans="1:11">
      <c r="A1827" t="s">
        <v>1874</v>
      </c>
      <c r="B1827" t="s">
        <v>40</v>
      </c>
      <c r="C1827" t="s">
        <v>25</v>
      </c>
      <c r="D1827" t="s">
        <v>38</v>
      </c>
      <c r="E1827" s="1">
        <v>45287</v>
      </c>
      <c r="F1827" s="1">
        <v>45299</v>
      </c>
      <c r="G1827">
        <v>16.7</v>
      </c>
      <c r="H1827">
        <v>336.83</v>
      </c>
      <c r="I1827" t="s">
        <v>48</v>
      </c>
      <c r="J1827">
        <v>2305</v>
      </c>
      <c r="K1827">
        <v>8</v>
      </c>
    </row>
    <row r="1828" spans="1:11">
      <c r="A1828" t="s">
        <v>1875</v>
      </c>
      <c r="B1828" t="s">
        <v>13</v>
      </c>
      <c r="C1828" t="s">
        <v>45</v>
      </c>
      <c r="D1828" t="s">
        <v>33</v>
      </c>
      <c r="E1828" s="1">
        <v>45057</v>
      </c>
      <c r="F1828" s="1">
        <v>45061</v>
      </c>
      <c r="G1828">
        <v>17.8</v>
      </c>
      <c r="H1828">
        <v>263.77</v>
      </c>
      <c r="I1828" t="s">
        <v>16</v>
      </c>
      <c r="J1828">
        <v>1657</v>
      </c>
      <c r="K1828">
        <v>4</v>
      </c>
    </row>
    <row r="1829" spans="1:11">
      <c r="A1829" t="s">
        <v>1876</v>
      </c>
      <c r="B1829" t="s">
        <v>52</v>
      </c>
      <c r="C1829" t="s">
        <v>58</v>
      </c>
      <c r="D1829" t="s">
        <v>15</v>
      </c>
      <c r="E1829" s="1">
        <v>45197</v>
      </c>
      <c r="F1829" s="1">
        <v>45202</v>
      </c>
      <c r="G1829">
        <v>19.8</v>
      </c>
      <c r="H1829">
        <v>253.63</v>
      </c>
      <c r="I1829" t="s">
        <v>16</v>
      </c>
      <c r="J1829">
        <v>1855</v>
      </c>
      <c r="K1829">
        <v>5</v>
      </c>
    </row>
    <row r="1830" spans="1:11">
      <c r="A1830" t="s">
        <v>1877</v>
      </c>
      <c r="B1830" t="s">
        <v>52</v>
      </c>
      <c r="C1830" t="s">
        <v>25</v>
      </c>
      <c r="D1830" t="s">
        <v>60</v>
      </c>
      <c r="E1830" s="1">
        <v>45248</v>
      </c>
      <c r="F1830" s="1">
        <v>45252</v>
      </c>
      <c r="G1830">
        <v>35.9</v>
      </c>
      <c r="H1830">
        <v>220.77</v>
      </c>
      <c r="I1830" t="s">
        <v>16</v>
      </c>
      <c r="J1830">
        <v>1360</v>
      </c>
      <c r="K1830">
        <v>4</v>
      </c>
    </row>
    <row r="1831" spans="1:11">
      <c r="A1831" t="s">
        <v>1878</v>
      </c>
      <c r="B1831" t="s">
        <v>28</v>
      </c>
      <c r="C1831" t="s">
        <v>37</v>
      </c>
      <c r="D1831" t="s">
        <v>33</v>
      </c>
      <c r="E1831" s="1">
        <v>45147</v>
      </c>
      <c r="F1831" s="1">
        <v>45148</v>
      </c>
      <c r="G1831">
        <v>27.9</v>
      </c>
      <c r="H1831">
        <v>59.52</v>
      </c>
      <c r="I1831" t="s">
        <v>16</v>
      </c>
      <c r="J1831">
        <v>139</v>
      </c>
      <c r="K1831">
        <v>1</v>
      </c>
    </row>
    <row r="1832" spans="1:11">
      <c r="A1832" t="s">
        <v>1879</v>
      </c>
      <c r="B1832" t="s">
        <v>21</v>
      </c>
      <c r="C1832" t="s">
        <v>37</v>
      </c>
      <c r="D1832" t="s">
        <v>60</v>
      </c>
      <c r="E1832" s="1">
        <v>45251</v>
      </c>
      <c r="F1832" s="1">
        <v>45254</v>
      </c>
      <c r="G1832">
        <v>82.7</v>
      </c>
      <c r="H1832">
        <v>243.19</v>
      </c>
      <c r="I1832" t="s">
        <v>16</v>
      </c>
      <c r="J1832">
        <v>1023</v>
      </c>
      <c r="K1832">
        <v>3</v>
      </c>
    </row>
    <row r="1833" spans="1:11">
      <c r="A1833" t="s">
        <v>1880</v>
      </c>
      <c r="B1833" t="s">
        <v>50</v>
      </c>
      <c r="C1833" t="s">
        <v>55</v>
      </c>
      <c r="D1833" t="s">
        <v>38</v>
      </c>
      <c r="E1833" s="1">
        <v>45102</v>
      </c>
      <c r="F1833" s="1">
        <v>45108</v>
      </c>
      <c r="G1833">
        <v>39.1</v>
      </c>
      <c r="H1833">
        <v>273.41000000000003</v>
      </c>
      <c r="I1833" t="s">
        <v>16</v>
      </c>
      <c r="J1833">
        <v>2104</v>
      </c>
      <c r="K1833">
        <v>6</v>
      </c>
    </row>
    <row r="1834" spans="1:11">
      <c r="A1834" t="s">
        <v>1881</v>
      </c>
      <c r="B1834" t="s">
        <v>28</v>
      </c>
      <c r="C1834" t="s">
        <v>29</v>
      </c>
      <c r="D1834" t="s">
        <v>38</v>
      </c>
      <c r="E1834" s="1">
        <v>44932</v>
      </c>
      <c r="F1834" s="1">
        <v>44934</v>
      </c>
      <c r="G1834">
        <v>26.2</v>
      </c>
      <c r="H1834">
        <v>48.64</v>
      </c>
      <c r="I1834" t="s">
        <v>61</v>
      </c>
      <c r="J1834">
        <v>116</v>
      </c>
      <c r="K1834">
        <v>2</v>
      </c>
    </row>
    <row r="1835" spans="1:11">
      <c r="A1835" t="s">
        <v>1882</v>
      </c>
      <c r="B1835" t="s">
        <v>13</v>
      </c>
      <c r="C1835" t="s">
        <v>82</v>
      </c>
      <c r="D1835" t="s">
        <v>43</v>
      </c>
      <c r="E1835" s="1">
        <v>45285</v>
      </c>
      <c r="F1835" s="1">
        <v>45290</v>
      </c>
      <c r="G1835">
        <v>20.399999999999999</v>
      </c>
      <c r="H1835">
        <v>281.08</v>
      </c>
      <c r="I1835" t="s">
        <v>16</v>
      </c>
      <c r="J1835">
        <v>1809</v>
      </c>
      <c r="K1835">
        <v>5</v>
      </c>
    </row>
    <row r="1836" spans="1:11">
      <c r="A1836" t="s">
        <v>1883</v>
      </c>
      <c r="B1836" t="s">
        <v>24</v>
      </c>
      <c r="C1836" t="s">
        <v>41</v>
      </c>
      <c r="D1836" t="s">
        <v>60</v>
      </c>
      <c r="E1836" s="1">
        <v>45214</v>
      </c>
      <c r="F1836" s="1">
        <v>45217</v>
      </c>
      <c r="G1836">
        <v>4.8</v>
      </c>
      <c r="H1836">
        <v>173.28</v>
      </c>
      <c r="I1836" t="s">
        <v>16</v>
      </c>
      <c r="J1836">
        <v>1478</v>
      </c>
      <c r="K1836">
        <v>3</v>
      </c>
    </row>
    <row r="1837" spans="1:11">
      <c r="A1837" t="s">
        <v>1884</v>
      </c>
      <c r="B1837" t="s">
        <v>24</v>
      </c>
      <c r="C1837" t="s">
        <v>37</v>
      </c>
      <c r="D1837" t="s">
        <v>60</v>
      </c>
      <c r="E1837" s="1">
        <v>45036</v>
      </c>
      <c r="F1837" s="1">
        <v>45042</v>
      </c>
      <c r="G1837">
        <v>6.4</v>
      </c>
      <c r="H1837">
        <v>219.55</v>
      </c>
      <c r="I1837" t="s">
        <v>16</v>
      </c>
      <c r="J1837">
        <v>1811</v>
      </c>
      <c r="K1837">
        <v>6</v>
      </c>
    </row>
    <row r="1838" spans="1:11">
      <c r="A1838" t="s">
        <v>1885</v>
      </c>
      <c r="B1838" t="s">
        <v>40</v>
      </c>
      <c r="C1838" t="s">
        <v>55</v>
      </c>
      <c r="D1838" t="s">
        <v>43</v>
      </c>
      <c r="E1838" s="1">
        <v>45105</v>
      </c>
      <c r="F1838" s="1">
        <v>45109</v>
      </c>
      <c r="G1838">
        <v>25.4</v>
      </c>
      <c r="H1838">
        <v>171.77</v>
      </c>
      <c r="I1838" t="s">
        <v>16</v>
      </c>
      <c r="J1838">
        <v>1145</v>
      </c>
      <c r="K1838">
        <v>4</v>
      </c>
    </row>
    <row r="1839" spans="1:11">
      <c r="A1839" t="s">
        <v>1886</v>
      </c>
      <c r="B1839" t="s">
        <v>28</v>
      </c>
      <c r="C1839" t="s">
        <v>71</v>
      </c>
      <c r="D1839" t="s">
        <v>43</v>
      </c>
      <c r="E1839" s="1">
        <v>45232</v>
      </c>
      <c r="F1839" s="1">
        <v>45237</v>
      </c>
      <c r="G1839">
        <v>15.2</v>
      </c>
      <c r="H1839">
        <v>322.73</v>
      </c>
      <c r="I1839" t="s">
        <v>16</v>
      </c>
      <c r="J1839">
        <v>2106</v>
      </c>
      <c r="K1839">
        <v>5</v>
      </c>
    </row>
    <row r="1840" spans="1:11">
      <c r="A1840" t="s">
        <v>1887</v>
      </c>
      <c r="B1840" t="s">
        <v>28</v>
      </c>
      <c r="C1840" t="s">
        <v>22</v>
      </c>
      <c r="D1840" t="s">
        <v>15</v>
      </c>
      <c r="E1840" s="1">
        <v>45234</v>
      </c>
      <c r="F1840" s="1">
        <v>45236</v>
      </c>
      <c r="G1840">
        <v>19.5</v>
      </c>
      <c r="H1840">
        <v>123.49</v>
      </c>
      <c r="I1840" t="s">
        <v>16</v>
      </c>
      <c r="J1840">
        <v>629</v>
      </c>
      <c r="K1840">
        <v>2</v>
      </c>
    </row>
    <row r="1841" spans="1:11">
      <c r="A1841" t="s">
        <v>1888</v>
      </c>
      <c r="B1841" t="s">
        <v>31</v>
      </c>
      <c r="C1841" t="s">
        <v>37</v>
      </c>
      <c r="D1841" t="s">
        <v>33</v>
      </c>
      <c r="E1841" s="1">
        <v>45146</v>
      </c>
      <c r="F1841" s="1">
        <v>45150</v>
      </c>
      <c r="G1841">
        <v>25.1</v>
      </c>
      <c r="H1841">
        <v>296.48</v>
      </c>
      <c r="I1841" t="s">
        <v>16</v>
      </c>
      <c r="J1841">
        <v>1809</v>
      </c>
      <c r="K1841">
        <v>4</v>
      </c>
    </row>
    <row r="1842" spans="1:11">
      <c r="A1842" t="s">
        <v>1889</v>
      </c>
      <c r="B1842" t="s">
        <v>24</v>
      </c>
      <c r="C1842" t="s">
        <v>71</v>
      </c>
      <c r="D1842" t="s">
        <v>38</v>
      </c>
      <c r="E1842" s="1">
        <v>45254</v>
      </c>
      <c r="F1842" s="1">
        <v>45258</v>
      </c>
      <c r="G1842">
        <v>34</v>
      </c>
      <c r="H1842">
        <v>63.15</v>
      </c>
      <c r="I1842" t="s">
        <v>63</v>
      </c>
      <c r="J1842">
        <v>113</v>
      </c>
      <c r="K1842">
        <v>4</v>
      </c>
    </row>
    <row r="1843" spans="1:11">
      <c r="A1843" t="s">
        <v>1890</v>
      </c>
      <c r="B1843" t="s">
        <v>31</v>
      </c>
      <c r="C1843" t="s">
        <v>29</v>
      </c>
      <c r="D1843" t="s">
        <v>19</v>
      </c>
      <c r="E1843" s="1">
        <v>44984</v>
      </c>
      <c r="F1843" s="1">
        <v>45002</v>
      </c>
      <c r="G1843">
        <v>25</v>
      </c>
      <c r="H1843">
        <v>381.58</v>
      </c>
      <c r="I1843" t="s">
        <v>48</v>
      </c>
      <c r="J1843">
        <v>2462</v>
      </c>
      <c r="K1843">
        <v>5</v>
      </c>
    </row>
    <row r="1844" spans="1:11">
      <c r="A1844" t="s">
        <v>1891</v>
      </c>
      <c r="B1844" t="s">
        <v>40</v>
      </c>
      <c r="C1844" t="s">
        <v>41</v>
      </c>
      <c r="D1844" t="s">
        <v>26</v>
      </c>
      <c r="E1844" s="1">
        <v>45165</v>
      </c>
      <c r="F1844" s="1">
        <v>45168</v>
      </c>
      <c r="G1844">
        <v>5.3</v>
      </c>
      <c r="H1844">
        <v>73</v>
      </c>
      <c r="I1844" t="s">
        <v>16</v>
      </c>
      <c r="J1844">
        <v>503</v>
      </c>
      <c r="K1844">
        <v>3</v>
      </c>
    </row>
    <row r="1845" spans="1:11">
      <c r="A1845" t="s">
        <v>1892</v>
      </c>
      <c r="B1845" t="s">
        <v>40</v>
      </c>
      <c r="C1845" t="s">
        <v>22</v>
      </c>
      <c r="D1845" t="s">
        <v>60</v>
      </c>
      <c r="E1845" s="1">
        <v>45001</v>
      </c>
      <c r="F1845" s="1">
        <v>45005</v>
      </c>
      <c r="G1845">
        <v>52</v>
      </c>
      <c r="H1845">
        <v>229.42</v>
      </c>
      <c r="I1845" t="s">
        <v>16</v>
      </c>
      <c r="J1845">
        <v>1460</v>
      </c>
      <c r="K1845">
        <v>4</v>
      </c>
    </row>
    <row r="1846" spans="1:11">
      <c r="A1846" t="s">
        <v>1893</v>
      </c>
      <c r="B1846" t="s">
        <v>52</v>
      </c>
      <c r="C1846" t="s">
        <v>29</v>
      </c>
      <c r="D1846" t="s">
        <v>38</v>
      </c>
      <c r="E1846" s="1">
        <v>44941</v>
      </c>
      <c r="F1846" s="1">
        <v>44947</v>
      </c>
      <c r="G1846">
        <v>27.4</v>
      </c>
      <c r="I1846" t="s">
        <v>16</v>
      </c>
      <c r="J1846">
        <v>1518</v>
      </c>
      <c r="K1846">
        <v>6</v>
      </c>
    </row>
    <row r="1847" spans="1:11">
      <c r="A1847" t="s">
        <v>1894</v>
      </c>
      <c r="B1847" t="s">
        <v>52</v>
      </c>
      <c r="C1847" t="s">
        <v>14</v>
      </c>
      <c r="D1847" t="s">
        <v>38</v>
      </c>
      <c r="E1847" s="1">
        <v>44941</v>
      </c>
      <c r="F1847" s="1">
        <v>44945</v>
      </c>
      <c r="G1847">
        <v>17.3</v>
      </c>
      <c r="H1847">
        <v>73.25</v>
      </c>
      <c r="I1847" t="s">
        <v>63</v>
      </c>
      <c r="J1847">
        <v>489</v>
      </c>
      <c r="K1847">
        <v>4</v>
      </c>
    </row>
    <row r="1848" spans="1:11">
      <c r="A1848" t="s">
        <v>1895</v>
      </c>
      <c r="B1848" t="s">
        <v>57</v>
      </c>
      <c r="C1848" t="s">
        <v>82</v>
      </c>
      <c r="D1848" t="s">
        <v>38</v>
      </c>
      <c r="E1848" s="1">
        <v>45176</v>
      </c>
      <c r="F1848" s="1">
        <v>45178</v>
      </c>
      <c r="G1848">
        <v>38.9</v>
      </c>
      <c r="H1848">
        <v>101.69</v>
      </c>
      <c r="I1848" t="s">
        <v>16</v>
      </c>
      <c r="J1848">
        <v>491</v>
      </c>
      <c r="K1848">
        <v>2</v>
      </c>
    </row>
    <row r="1849" spans="1:11">
      <c r="A1849" t="s">
        <v>1896</v>
      </c>
      <c r="B1849" t="s">
        <v>13</v>
      </c>
      <c r="C1849" t="s">
        <v>41</v>
      </c>
      <c r="D1849" t="s">
        <v>26</v>
      </c>
      <c r="E1849" s="1">
        <v>44975</v>
      </c>
      <c r="F1849" s="1">
        <v>44985</v>
      </c>
      <c r="G1849">
        <v>12.6</v>
      </c>
      <c r="H1849">
        <v>77.290000000000006</v>
      </c>
      <c r="I1849" t="s">
        <v>48</v>
      </c>
      <c r="J1849">
        <v>464</v>
      </c>
      <c r="K1849">
        <v>3</v>
      </c>
    </row>
    <row r="1850" spans="1:11">
      <c r="A1850" t="s">
        <v>1897</v>
      </c>
      <c r="B1850" t="s">
        <v>31</v>
      </c>
      <c r="C1850" t="s">
        <v>58</v>
      </c>
      <c r="D1850" t="s">
        <v>38</v>
      </c>
      <c r="E1850" s="1">
        <v>45139</v>
      </c>
      <c r="F1850" s="1">
        <v>45153</v>
      </c>
      <c r="G1850">
        <v>79.599999999999994</v>
      </c>
      <c r="I1850" t="s">
        <v>48</v>
      </c>
      <c r="J1850">
        <v>1521</v>
      </c>
      <c r="K1850">
        <v>6</v>
      </c>
    </row>
    <row r="1851" spans="1:11">
      <c r="A1851" t="s">
        <v>1898</v>
      </c>
      <c r="B1851" t="s">
        <v>36</v>
      </c>
      <c r="C1851" t="s">
        <v>18</v>
      </c>
      <c r="D1851" t="s">
        <v>19</v>
      </c>
      <c r="E1851" s="1">
        <v>45126</v>
      </c>
      <c r="F1851" s="1">
        <v>45131</v>
      </c>
      <c r="G1851">
        <v>7.7</v>
      </c>
      <c r="H1851">
        <v>272.22000000000003</v>
      </c>
      <c r="I1851" t="s">
        <v>16</v>
      </c>
      <c r="J1851">
        <v>1814</v>
      </c>
      <c r="K1851">
        <v>5</v>
      </c>
    </row>
    <row r="1852" spans="1:11">
      <c r="A1852" t="s">
        <v>1899</v>
      </c>
      <c r="B1852" t="s">
        <v>50</v>
      </c>
      <c r="C1852" t="s">
        <v>37</v>
      </c>
      <c r="D1852" t="s">
        <v>43</v>
      </c>
      <c r="E1852" s="1">
        <v>45063</v>
      </c>
      <c r="F1852" s="1">
        <v>45069</v>
      </c>
      <c r="G1852">
        <v>16.600000000000001</v>
      </c>
      <c r="H1852">
        <v>261.31</v>
      </c>
      <c r="I1852" t="s">
        <v>16</v>
      </c>
      <c r="J1852">
        <v>2220</v>
      </c>
      <c r="K1852">
        <v>6</v>
      </c>
    </row>
    <row r="1853" spans="1:11">
      <c r="A1853" t="s">
        <v>1900</v>
      </c>
      <c r="B1853" t="s">
        <v>52</v>
      </c>
      <c r="C1853" t="s">
        <v>37</v>
      </c>
      <c r="D1853" t="s">
        <v>60</v>
      </c>
      <c r="E1853" s="1">
        <v>45023</v>
      </c>
      <c r="F1853" s="1">
        <v>45029</v>
      </c>
      <c r="G1853">
        <v>20.8</v>
      </c>
      <c r="H1853">
        <v>289.2</v>
      </c>
      <c r="I1853" t="s">
        <v>16</v>
      </c>
      <c r="J1853">
        <v>2420</v>
      </c>
      <c r="K1853">
        <v>6</v>
      </c>
    </row>
    <row r="1854" spans="1:11">
      <c r="A1854" t="s">
        <v>1901</v>
      </c>
      <c r="B1854" t="s">
        <v>28</v>
      </c>
      <c r="C1854" t="s">
        <v>18</v>
      </c>
      <c r="D1854" t="s">
        <v>38</v>
      </c>
      <c r="E1854" s="1">
        <v>44980</v>
      </c>
      <c r="F1854" s="1">
        <v>44987</v>
      </c>
      <c r="G1854">
        <v>6.6</v>
      </c>
      <c r="H1854">
        <v>81.819999999999993</v>
      </c>
      <c r="I1854" t="s">
        <v>48</v>
      </c>
      <c r="J1854">
        <v>613</v>
      </c>
      <c r="K1854">
        <v>5</v>
      </c>
    </row>
    <row r="1855" spans="1:11">
      <c r="A1855" t="s">
        <v>1902</v>
      </c>
      <c r="B1855" t="s">
        <v>24</v>
      </c>
      <c r="C1855" t="s">
        <v>14</v>
      </c>
      <c r="D1855" t="s">
        <v>43</v>
      </c>
      <c r="E1855" s="1">
        <v>45145</v>
      </c>
      <c r="F1855" s="1">
        <v>45151</v>
      </c>
      <c r="G1855">
        <v>21.5</v>
      </c>
      <c r="H1855">
        <v>293.41000000000003</v>
      </c>
      <c r="I1855" t="s">
        <v>16</v>
      </c>
      <c r="J1855">
        <v>2170</v>
      </c>
      <c r="K1855">
        <v>6</v>
      </c>
    </row>
    <row r="1856" spans="1:11">
      <c r="A1856" t="s">
        <v>1903</v>
      </c>
      <c r="B1856" t="s">
        <v>13</v>
      </c>
      <c r="C1856" t="s">
        <v>71</v>
      </c>
      <c r="D1856" t="s">
        <v>19</v>
      </c>
      <c r="E1856" s="1">
        <v>45134</v>
      </c>
      <c r="F1856" s="1">
        <v>45136</v>
      </c>
      <c r="G1856">
        <v>13.7</v>
      </c>
      <c r="H1856">
        <v>87.28</v>
      </c>
      <c r="I1856" t="s">
        <v>16</v>
      </c>
      <c r="J1856">
        <v>451</v>
      </c>
      <c r="K1856">
        <v>2</v>
      </c>
    </row>
    <row r="1857" spans="1:11">
      <c r="A1857" t="s">
        <v>1904</v>
      </c>
      <c r="B1857" t="s">
        <v>52</v>
      </c>
      <c r="C1857" t="s">
        <v>29</v>
      </c>
      <c r="D1857" t="s">
        <v>38</v>
      </c>
      <c r="E1857" s="1">
        <v>45281</v>
      </c>
      <c r="F1857" s="1">
        <v>45299</v>
      </c>
      <c r="G1857">
        <v>16</v>
      </c>
      <c r="H1857">
        <v>158.75</v>
      </c>
      <c r="I1857" t="s">
        <v>48</v>
      </c>
      <c r="J1857">
        <v>1052</v>
      </c>
      <c r="K1857">
        <v>7</v>
      </c>
    </row>
    <row r="1858" spans="1:11">
      <c r="A1858" t="s">
        <v>1905</v>
      </c>
      <c r="B1858" t="s">
        <v>50</v>
      </c>
      <c r="C1858" t="s">
        <v>37</v>
      </c>
      <c r="D1858" t="s">
        <v>60</v>
      </c>
      <c r="E1858" s="1">
        <v>44953</v>
      </c>
      <c r="F1858" s="1">
        <v>44965</v>
      </c>
      <c r="G1858">
        <v>20</v>
      </c>
      <c r="H1858">
        <v>63.36</v>
      </c>
      <c r="I1858" t="s">
        <v>48</v>
      </c>
      <c r="J1858">
        <v>379</v>
      </c>
      <c r="K1858">
        <v>2</v>
      </c>
    </row>
    <row r="1859" spans="1:11">
      <c r="A1859" t="s">
        <v>1906</v>
      </c>
      <c r="B1859" t="s">
        <v>31</v>
      </c>
      <c r="C1859" t="s">
        <v>53</v>
      </c>
      <c r="D1859" t="s">
        <v>19</v>
      </c>
      <c r="E1859" s="1">
        <v>44997</v>
      </c>
      <c r="F1859" s="1">
        <v>45002</v>
      </c>
      <c r="G1859">
        <v>4.2</v>
      </c>
      <c r="H1859">
        <v>266.62</v>
      </c>
      <c r="I1859" t="s">
        <v>16</v>
      </c>
      <c r="J1859">
        <v>1931</v>
      </c>
      <c r="K1859">
        <v>5</v>
      </c>
    </row>
    <row r="1860" spans="1:11">
      <c r="A1860" t="s">
        <v>1907</v>
      </c>
      <c r="B1860" t="s">
        <v>31</v>
      </c>
      <c r="C1860" t="s">
        <v>58</v>
      </c>
      <c r="D1860" t="s">
        <v>15</v>
      </c>
      <c r="E1860" s="1">
        <v>45068</v>
      </c>
      <c r="F1860" s="1">
        <v>45076</v>
      </c>
      <c r="G1860">
        <v>12.4</v>
      </c>
      <c r="H1860">
        <v>345.97</v>
      </c>
      <c r="I1860" t="s">
        <v>16</v>
      </c>
      <c r="J1860">
        <v>2449</v>
      </c>
      <c r="K1860">
        <v>8</v>
      </c>
    </row>
    <row r="1861" spans="1:11">
      <c r="A1861" t="s">
        <v>1908</v>
      </c>
      <c r="B1861" t="s">
        <v>40</v>
      </c>
      <c r="C1861" t="s">
        <v>18</v>
      </c>
      <c r="D1861" t="s">
        <v>60</v>
      </c>
      <c r="E1861" s="1">
        <v>44964</v>
      </c>
      <c r="F1861" s="1">
        <v>44968</v>
      </c>
      <c r="G1861">
        <v>15.6</v>
      </c>
      <c r="H1861">
        <v>116.02</v>
      </c>
      <c r="I1861" t="s">
        <v>16</v>
      </c>
      <c r="J1861">
        <v>800</v>
      </c>
      <c r="K1861">
        <v>4</v>
      </c>
    </row>
    <row r="1862" spans="1:11">
      <c r="A1862" t="s">
        <v>1909</v>
      </c>
      <c r="B1862" t="s">
        <v>28</v>
      </c>
      <c r="C1862" t="s">
        <v>29</v>
      </c>
      <c r="D1862" t="s">
        <v>60</v>
      </c>
      <c r="E1862" s="1">
        <v>45130</v>
      </c>
      <c r="F1862" s="1">
        <v>45133</v>
      </c>
      <c r="G1862">
        <v>43.4</v>
      </c>
      <c r="H1862">
        <v>196.44</v>
      </c>
      <c r="I1862" t="s">
        <v>16</v>
      </c>
      <c r="J1862">
        <v>1323</v>
      </c>
      <c r="K1862">
        <v>3</v>
      </c>
    </row>
    <row r="1863" spans="1:11">
      <c r="A1863" t="s">
        <v>1910</v>
      </c>
      <c r="B1863" t="s">
        <v>50</v>
      </c>
      <c r="C1863" t="s">
        <v>41</v>
      </c>
      <c r="D1863" t="s">
        <v>26</v>
      </c>
      <c r="E1863" s="1">
        <v>45077</v>
      </c>
      <c r="F1863" s="1">
        <v>45082</v>
      </c>
      <c r="G1863">
        <v>46.6</v>
      </c>
      <c r="H1863">
        <v>122.94</v>
      </c>
      <c r="I1863" t="s">
        <v>16</v>
      </c>
      <c r="J1863">
        <v>510</v>
      </c>
      <c r="K1863">
        <v>5</v>
      </c>
    </row>
    <row r="1864" spans="1:11">
      <c r="A1864" t="s">
        <v>1911</v>
      </c>
      <c r="B1864" t="s">
        <v>52</v>
      </c>
      <c r="C1864" t="s">
        <v>14</v>
      </c>
      <c r="D1864" t="s">
        <v>60</v>
      </c>
      <c r="E1864" s="1">
        <v>45254</v>
      </c>
      <c r="F1864" s="1">
        <v>45257</v>
      </c>
      <c r="G1864">
        <v>9.5</v>
      </c>
      <c r="H1864">
        <v>76.52</v>
      </c>
      <c r="I1864" t="s">
        <v>16</v>
      </c>
      <c r="J1864">
        <v>465</v>
      </c>
      <c r="K1864">
        <v>3</v>
      </c>
    </row>
    <row r="1865" spans="1:11">
      <c r="A1865" t="s">
        <v>1912</v>
      </c>
      <c r="B1865" t="s">
        <v>21</v>
      </c>
      <c r="C1865" t="s">
        <v>45</v>
      </c>
      <c r="D1865" t="s">
        <v>26</v>
      </c>
      <c r="E1865" s="1">
        <v>44940</v>
      </c>
      <c r="F1865" s="1">
        <v>44944</v>
      </c>
      <c r="G1865">
        <v>16.100000000000001</v>
      </c>
      <c r="H1865">
        <v>105.58</v>
      </c>
      <c r="I1865" t="s">
        <v>16</v>
      </c>
      <c r="J1865">
        <v>664</v>
      </c>
      <c r="K1865">
        <v>4</v>
      </c>
    </row>
    <row r="1866" spans="1:11">
      <c r="A1866" t="s">
        <v>1913</v>
      </c>
      <c r="B1866" t="s">
        <v>28</v>
      </c>
      <c r="C1866" t="s">
        <v>32</v>
      </c>
      <c r="D1866" t="s">
        <v>33</v>
      </c>
      <c r="E1866" s="1">
        <v>45118</v>
      </c>
      <c r="F1866" s="1">
        <v>45124</v>
      </c>
      <c r="G1866">
        <v>88.9</v>
      </c>
      <c r="H1866">
        <v>424.24</v>
      </c>
      <c r="I1866" t="s">
        <v>16</v>
      </c>
      <c r="J1866">
        <v>2356</v>
      </c>
      <c r="K1866">
        <v>6</v>
      </c>
    </row>
    <row r="1867" spans="1:11">
      <c r="A1867" t="s">
        <v>1914</v>
      </c>
      <c r="B1867" t="s">
        <v>13</v>
      </c>
      <c r="C1867" t="s">
        <v>32</v>
      </c>
      <c r="D1867" t="s">
        <v>60</v>
      </c>
      <c r="E1867" s="1">
        <v>45081</v>
      </c>
      <c r="F1867" s="1">
        <v>45084</v>
      </c>
      <c r="G1867">
        <v>24.8</v>
      </c>
      <c r="H1867">
        <v>140.88</v>
      </c>
      <c r="I1867" t="s">
        <v>61</v>
      </c>
      <c r="J1867">
        <v>944</v>
      </c>
      <c r="K1867">
        <v>3</v>
      </c>
    </row>
    <row r="1868" spans="1:11">
      <c r="A1868" t="s">
        <v>1915</v>
      </c>
      <c r="B1868" t="s">
        <v>21</v>
      </c>
      <c r="C1868" t="s">
        <v>82</v>
      </c>
      <c r="D1868" t="s">
        <v>38</v>
      </c>
      <c r="E1868" s="1">
        <v>45227</v>
      </c>
      <c r="F1868" s="1">
        <v>45235</v>
      </c>
      <c r="G1868">
        <v>18.100000000000001</v>
      </c>
      <c r="H1868">
        <v>242.86</v>
      </c>
      <c r="I1868" t="s">
        <v>16</v>
      </c>
      <c r="J1868">
        <v>1746</v>
      </c>
      <c r="K1868">
        <v>8</v>
      </c>
    </row>
    <row r="1869" spans="1:11">
      <c r="A1869" t="s">
        <v>1916</v>
      </c>
      <c r="B1869" t="s">
        <v>40</v>
      </c>
      <c r="C1869" t="s">
        <v>37</v>
      </c>
      <c r="D1869" t="s">
        <v>43</v>
      </c>
      <c r="E1869" s="1">
        <v>44992</v>
      </c>
      <c r="F1869" s="1">
        <v>44996</v>
      </c>
      <c r="G1869">
        <v>29.7</v>
      </c>
      <c r="H1869">
        <v>271.76</v>
      </c>
      <c r="I1869" t="s">
        <v>16</v>
      </c>
      <c r="J1869">
        <v>2067</v>
      </c>
      <c r="K1869">
        <v>4</v>
      </c>
    </row>
    <row r="1870" spans="1:11">
      <c r="A1870" t="s">
        <v>1917</v>
      </c>
      <c r="B1870" t="s">
        <v>24</v>
      </c>
      <c r="C1870" t="s">
        <v>47</v>
      </c>
      <c r="D1870" t="s">
        <v>33</v>
      </c>
      <c r="E1870" s="1">
        <v>45047</v>
      </c>
      <c r="F1870" s="1">
        <v>45051</v>
      </c>
      <c r="G1870">
        <v>5404.2</v>
      </c>
      <c r="H1870">
        <v>226.51</v>
      </c>
      <c r="I1870" t="s">
        <v>16</v>
      </c>
      <c r="J1870">
        <v>1053</v>
      </c>
      <c r="K1870">
        <v>4</v>
      </c>
    </row>
    <row r="1871" spans="1:11">
      <c r="A1871" t="s">
        <v>1918</v>
      </c>
      <c r="B1871" t="s">
        <v>36</v>
      </c>
      <c r="C1871" t="s">
        <v>71</v>
      </c>
      <c r="D1871" t="s">
        <v>26</v>
      </c>
      <c r="E1871" s="1">
        <v>45202</v>
      </c>
      <c r="F1871" s="1">
        <v>45204</v>
      </c>
      <c r="G1871">
        <v>32.200000000000003</v>
      </c>
      <c r="H1871">
        <v>96.92</v>
      </c>
      <c r="I1871" t="s">
        <v>16</v>
      </c>
      <c r="J1871">
        <v>447</v>
      </c>
      <c r="K1871">
        <v>2</v>
      </c>
    </row>
    <row r="1872" spans="1:11">
      <c r="A1872" t="s">
        <v>1919</v>
      </c>
      <c r="B1872" t="s">
        <v>57</v>
      </c>
      <c r="C1872" t="s">
        <v>22</v>
      </c>
      <c r="D1872" t="s">
        <v>26</v>
      </c>
      <c r="E1872" s="1">
        <v>44932</v>
      </c>
      <c r="F1872" s="1">
        <v>44936</v>
      </c>
      <c r="G1872">
        <v>119.7</v>
      </c>
      <c r="H1872">
        <v>390.46</v>
      </c>
      <c r="I1872" t="s">
        <v>16</v>
      </c>
      <c r="J1872">
        <v>1834</v>
      </c>
      <c r="K1872">
        <v>4</v>
      </c>
    </row>
    <row r="1873" spans="1:11">
      <c r="A1873" t="s">
        <v>1920</v>
      </c>
      <c r="B1873" t="s">
        <v>24</v>
      </c>
      <c r="C1873" t="s">
        <v>45</v>
      </c>
      <c r="D1873" t="s">
        <v>26</v>
      </c>
      <c r="E1873" s="1">
        <v>45159</v>
      </c>
      <c r="F1873" s="1">
        <v>45162</v>
      </c>
      <c r="G1873">
        <v>28.4</v>
      </c>
      <c r="H1873">
        <v>117.74</v>
      </c>
      <c r="I1873" t="s">
        <v>63</v>
      </c>
      <c r="J1873">
        <v>677</v>
      </c>
      <c r="K1873">
        <v>3</v>
      </c>
    </row>
    <row r="1874" spans="1:11">
      <c r="A1874" t="s">
        <v>1921</v>
      </c>
      <c r="B1874" t="s">
        <v>21</v>
      </c>
      <c r="C1874" t="s">
        <v>32</v>
      </c>
      <c r="D1874" t="s">
        <v>43</v>
      </c>
      <c r="E1874" s="1">
        <v>45235</v>
      </c>
      <c r="F1874" s="1">
        <v>45241</v>
      </c>
      <c r="G1874">
        <v>17.3</v>
      </c>
      <c r="H1874">
        <v>309.39</v>
      </c>
      <c r="I1874" t="s">
        <v>16</v>
      </c>
      <c r="J1874">
        <v>1780</v>
      </c>
      <c r="K1874">
        <v>6</v>
      </c>
    </row>
    <row r="1875" spans="1:11">
      <c r="A1875" t="s">
        <v>1922</v>
      </c>
      <c r="B1875" t="s">
        <v>36</v>
      </c>
      <c r="C1875" t="s">
        <v>41</v>
      </c>
      <c r="D1875" t="s">
        <v>15</v>
      </c>
      <c r="E1875" s="1">
        <v>45261</v>
      </c>
      <c r="F1875" s="1">
        <v>45263</v>
      </c>
      <c r="G1875">
        <v>13.8</v>
      </c>
      <c r="H1875">
        <v>63.06</v>
      </c>
      <c r="I1875" t="s">
        <v>16</v>
      </c>
      <c r="J1875">
        <v>283</v>
      </c>
      <c r="K1875">
        <v>2</v>
      </c>
    </row>
    <row r="1876" spans="1:11">
      <c r="A1876" t="s">
        <v>1923</v>
      </c>
      <c r="B1876" t="s">
        <v>31</v>
      </c>
      <c r="C1876" t="s">
        <v>22</v>
      </c>
      <c r="D1876" t="s">
        <v>26</v>
      </c>
      <c r="E1876" s="1">
        <v>45126</v>
      </c>
      <c r="F1876" s="1">
        <v>45131</v>
      </c>
      <c r="G1876">
        <v>79.3</v>
      </c>
      <c r="H1876">
        <v>348.67</v>
      </c>
      <c r="I1876" t="s">
        <v>16</v>
      </c>
      <c r="J1876">
        <v>2393</v>
      </c>
      <c r="K1876">
        <v>5</v>
      </c>
    </row>
    <row r="1877" spans="1:11">
      <c r="A1877" t="s">
        <v>1924</v>
      </c>
      <c r="B1877" t="s">
        <v>36</v>
      </c>
      <c r="C1877" t="s">
        <v>82</v>
      </c>
      <c r="D1877" t="s">
        <v>15</v>
      </c>
      <c r="E1877" s="1">
        <v>45224</v>
      </c>
      <c r="F1877" s="1">
        <v>45229</v>
      </c>
      <c r="G1877">
        <v>5.9</v>
      </c>
      <c r="H1877">
        <v>145.47</v>
      </c>
      <c r="I1877" t="s">
        <v>16</v>
      </c>
      <c r="J1877">
        <v>1000</v>
      </c>
      <c r="K1877">
        <v>5</v>
      </c>
    </row>
    <row r="1878" spans="1:11">
      <c r="A1878" t="s">
        <v>1925</v>
      </c>
      <c r="B1878" t="s">
        <v>52</v>
      </c>
      <c r="C1878" t="s">
        <v>29</v>
      </c>
      <c r="D1878" t="s">
        <v>19</v>
      </c>
      <c r="E1878" s="1">
        <v>45033</v>
      </c>
      <c r="F1878" s="1">
        <v>45034</v>
      </c>
      <c r="G1878">
        <v>26.2</v>
      </c>
      <c r="H1878">
        <v>86.35</v>
      </c>
      <c r="I1878" t="s">
        <v>16</v>
      </c>
      <c r="J1878">
        <v>351</v>
      </c>
      <c r="K1878">
        <v>1</v>
      </c>
    </row>
    <row r="1879" spans="1:11">
      <c r="A1879" t="s">
        <v>1926</v>
      </c>
      <c r="B1879" t="s">
        <v>21</v>
      </c>
      <c r="C1879" t="s">
        <v>25</v>
      </c>
      <c r="D1879" t="s">
        <v>15</v>
      </c>
      <c r="E1879" s="1">
        <v>44929</v>
      </c>
      <c r="F1879" s="1">
        <v>44934</v>
      </c>
      <c r="G1879">
        <v>16.8</v>
      </c>
      <c r="H1879">
        <v>174.76</v>
      </c>
      <c r="I1879" t="s">
        <v>16</v>
      </c>
      <c r="J1879">
        <v>1135</v>
      </c>
      <c r="K1879">
        <v>5</v>
      </c>
    </row>
    <row r="1880" spans="1:11">
      <c r="A1880" t="s">
        <v>1927</v>
      </c>
      <c r="B1880" t="s">
        <v>24</v>
      </c>
      <c r="C1880" t="s">
        <v>25</v>
      </c>
      <c r="D1880" t="s">
        <v>60</v>
      </c>
      <c r="E1880" s="1">
        <v>44989</v>
      </c>
      <c r="F1880" s="1">
        <v>44993</v>
      </c>
      <c r="G1880">
        <v>24.1</v>
      </c>
      <c r="H1880">
        <v>213.6</v>
      </c>
      <c r="I1880" t="s">
        <v>16</v>
      </c>
      <c r="J1880">
        <v>1794</v>
      </c>
      <c r="K1880">
        <v>4</v>
      </c>
    </row>
    <row r="1881" spans="1:11">
      <c r="A1881" t="s">
        <v>1928</v>
      </c>
      <c r="B1881" t="s">
        <v>52</v>
      </c>
      <c r="C1881" t="s">
        <v>25</v>
      </c>
      <c r="D1881" t="s">
        <v>19</v>
      </c>
      <c r="E1881" s="1">
        <v>45155</v>
      </c>
      <c r="F1881" s="1">
        <v>45159</v>
      </c>
      <c r="G1881">
        <v>10.199999999999999</v>
      </c>
      <c r="H1881">
        <v>286.07</v>
      </c>
      <c r="I1881" t="s">
        <v>16</v>
      </c>
      <c r="J1881">
        <v>1919</v>
      </c>
      <c r="K1881">
        <v>4</v>
      </c>
    </row>
    <row r="1882" spans="1:11">
      <c r="A1882" t="s">
        <v>1929</v>
      </c>
      <c r="B1882" t="s">
        <v>52</v>
      </c>
      <c r="C1882" t="s">
        <v>58</v>
      </c>
      <c r="D1882" t="s">
        <v>26</v>
      </c>
      <c r="E1882" s="1">
        <v>45141</v>
      </c>
      <c r="F1882" s="1">
        <v>45144</v>
      </c>
      <c r="G1882">
        <v>25.6</v>
      </c>
      <c r="H1882">
        <v>114.68</v>
      </c>
      <c r="I1882" t="s">
        <v>16</v>
      </c>
      <c r="J1882">
        <v>801</v>
      </c>
      <c r="K1882">
        <v>3</v>
      </c>
    </row>
    <row r="1883" spans="1:11">
      <c r="A1883" t="s">
        <v>1930</v>
      </c>
      <c r="B1883" t="s">
        <v>13</v>
      </c>
      <c r="C1883" t="s">
        <v>55</v>
      </c>
      <c r="D1883" t="s">
        <v>33</v>
      </c>
      <c r="E1883" s="1">
        <v>45242</v>
      </c>
      <c r="F1883" s="1">
        <v>45244</v>
      </c>
      <c r="G1883">
        <v>6.1</v>
      </c>
      <c r="H1883">
        <v>39.840000000000003</v>
      </c>
      <c r="I1883" t="s">
        <v>16</v>
      </c>
      <c r="J1883">
        <v>218</v>
      </c>
      <c r="K1883">
        <v>2</v>
      </c>
    </row>
    <row r="1884" spans="1:11">
      <c r="A1884" t="s">
        <v>1931</v>
      </c>
      <c r="B1884" t="s">
        <v>21</v>
      </c>
      <c r="C1884" t="s">
        <v>53</v>
      </c>
      <c r="D1884" t="s">
        <v>15</v>
      </c>
      <c r="E1884" s="1">
        <v>45138</v>
      </c>
      <c r="F1884" s="1">
        <v>45142</v>
      </c>
      <c r="G1884">
        <v>29.9</v>
      </c>
      <c r="H1884">
        <v>84.58</v>
      </c>
      <c r="I1884" t="s">
        <v>16</v>
      </c>
      <c r="J1884">
        <v>373</v>
      </c>
      <c r="K1884">
        <v>4</v>
      </c>
    </row>
    <row r="1885" spans="1:11">
      <c r="A1885" t="s">
        <v>1932</v>
      </c>
      <c r="B1885" t="s">
        <v>31</v>
      </c>
      <c r="C1885" t="s">
        <v>47</v>
      </c>
      <c r="D1885" t="s">
        <v>26</v>
      </c>
      <c r="E1885" s="1">
        <v>45255</v>
      </c>
      <c r="F1885" s="1">
        <v>45259</v>
      </c>
      <c r="G1885">
        <v>7.2</v>
      </c>
      <c r="H1885">
        <v>212.11</v>
      </c>
      <c r="I1885" t="s">
        <v>16</v>
      </c>
      <c r="J1885">
        <v>1306</v>
      </c>
      <c r="K1885">
        <v>4</v>
      </c>
    </row>
    <row r="1886" spans="1:11">
      <c r="A1886" t="s">
        <v>1933</v>
      </c>
      <c r="B1886" t="s">
        <v>36</v>
      </c>
      <c r="C1886" t="s">
        <v>58</v>
      </c>
      <c r="D1886" t="s">
        <v>38</v>
      </c>
      <c r="E1886" s="1">
        <v>45131</v>
      </c>
      <c r="F1886" s="1">
        <v>45138</v>
      </c>
      <c r="G1886">
        <v>40.700000000000003</v>
      </c>
      <c r="H1886">
        <v>292.44</v>
      </c>
      <c r="I1886" t="s">
        <v>16</v>
      </c>
      <c r="J1886">
        <v>2247</v>
      </c>
      <c r="K1886">
        <v>7</v>
      </c>
    </row>
    <row r="1887" spans="1:11">
      <c r="A1887" t="s">
        <v>1934</v>
      </c>
      <c r="B1887" t="s">
        <v>36</v>
      </c>
      <c r="C1887" t="s">
        <v>71</v>
      </c>
      <c r="D1887" t="s">
        <v>38</v>
      </c>
      <c r="E1887" s="1">
        <v>45179</v>
      </c>
      <c r="F1887" s="1">
        <v>45183</v>
      </c>
      <c r="G1887">
        <v>34.700000000000003</v>
      </c>
      <c r="H1887">
        <v>252.26</v>
      </c>
      <c r="I1887" t="s">
        <v>16</v>
      </c>
      <c r="J1887">
        <v>1603</v>
      </c>
      <c r="K1887">
        <v>4</v>
      </c>
    </row>
    <row r="1888" spans="1:11">
      <c r="A1888" t="s">
        <v>1935</v>
      </c>
      <c r="B1888" t="s">
        <v>28</v>
      </c>
      <c r="C1888" t="s">
        <v>41</v>
      </c>
      <c r="D1888" t="s">
        <v>43</v>
      </c>
      <c r="E1888" s="1">
        <v>45242</v>
      </c>
      <c r="F1888" s="1">
        <v>45245</v>
      </c>
      <c r="G1888">
        <v>24.8</v>
      </c>
      <c r="H1888">
        <v>206.07</v>
      </c>
      <c r="I1888" t="s">
        <v>16</v>
      </c>
      <c r="J1888">
        <v>1099</v>
      </c>
      <c r="K1888">
        <v>3</v>
      </c>
    </row>
    <row r="1889" spans="1:11">
      <c r="A1889" t="s">
        <v>1936</v>
      </c>
      <c r="B1889" t="s">
        <v>40</v>
      </c>
      <c r="C1889" t="s">
        <v>55</v>
      </c>
      <c r="D1889" t="s">
        <v>26</v>
      </c>
      <c r="E1889" s="1">
        <v>45257</v>
      </c>
      <c r="F1889" s="1">
        <v>45262</v>
      </c>
      <c r="G1889">
        <v>28.1</v>
      </c>
      <c r="H1889">
        <v>195.61</v>
      </c>
      <c r="I1889" t="s">
        <v>68</v>
      </c>
      <c r="J1889">
        <v>1012</v>
      </c>
      <c r="K1889">
        <v>5</v>
      </c>
    </row>
    <row r="1890" spans="1:11">
      <c r="A1890" t="s">
        <v>1937</v>
      </c>
      <c r="B1890" t="s">
        <v>52</v>
      </c>
      <c r="C1890" t="s">
        <v>14</v>
      </c>
      <c r="D1890" t="s">
        <v>38</v>
      </c>
      <c r="E1890" s="1">
        <v>45170</v>
      </c>
      <c r="F1890" s="1">
        <v>45172</v>
      </c>
      <c r="G1890">
        <v>10.7</v>
      </c>
      <c r="I1890" t="s">
        <v>16</v>
      </c>
      <c r="J1890">
        <v>392</v>
      </c>
      <c r="K1890">
        <v>2</v>
      </c>
    </row>
    <row r="1891" spans="1:11">
      <c r="A1891" t="s">
        <v>1938</v>
      </c>
      <c r="B1891" t="s">
        <v>13</v>
      </c>
      <c r="C1891" t="s">
        <v>41</v>
      </c>
      <c r="D1891" t="s">
        <v>19</v>
      </c>
      <c r="E1891" s="1">
        <v>45071</v>
      </c>
      <c r="F1891" s="1">
        <v>45078</v>
      </c>
      <c r="G1891">
        <v>32.799999999999997</v>
      </c>
      <c r="H1891">
        <v>303.32</v>
      </c>
      <c r="I1891" t="s">
        <v>16</v>
      </c>
      <c r="J1891">
        <v>2012</v>
      </c>
      <c r="K1891">
        <v>7</v>
      </c>
    </row>
    <row r="1892" spans="1:11">
      <c r="A1892" t="s">
        <v>1939</v>
      </c>
      <c r="B1892" t="s">
        <v>28</v>
      </c>
      <c r="C1892" t="s">
        <v>25</v>
      </c>
      <c r="D1892" t="s">
        <v>19</v>
      </c>
      <c r="E1892" s="1">
        <v>45067</v>
      </c>
      <c r="F1892" s="1">
        <v>45074</v>
      </c>
      <c r="G1892">
        <v>29.5</v>
      </c>
      <c r="H1892">
        <v>326.18</v>
      </c>
      <c r="I1892" t="s">
        <v>16</v>
      </c>
      <c r="J1892">
        <v>2273</v>
      </c>
      <c r="K1892">
        <v>7</v>
      </c>
    </row>
    <row r="1893" spans="1:11">
      <c r="A1893" t="s">
        <v>1940</v>
      </c>
      <c r="B1893" t="s">
        <v>21</v>
      </c>
      <c r="C1893" t="s">
        <v>32</v>
      </c>
      <c r="D1893" t="s">
        <v>26</v>
      </c>
      <c r="E1893" s="1">
        <v>45281</v>
      </c>
      <c r="F1893" s="1">
        <v>45286</v>
      </c>
      <c r="G1893">
        <v>66.3</v>
      </c>
      <c r="H1893">
        <v>337.55</v>
      </c>
      <c r="I1893" t="s">
        <v>63</v>
      </c>
      <c r="J1893">
        <v>1743</v>
      </c>
      <c r="K1893">
        <v>5</v>
      </c>
    </row>
    <row r="1894" spans="1:11">
      <c r="A1894" t="s">
        <v>1941</v>
      </c>
      <c r="B1894" t="s">
        <v>50</v>
      </c>
      <c r="C1894" t="s">
        <v>18</v>
      </c>
      <c r="D1894" t="s">
        <v>15</v>
      </c>
      <c r="E1894" s="1">
        <v>45101</v>
      </c>
      <c r="F1894" s="1">
        <v>45105</v>
      </c>
      <c r="G1894">
        <v>21.7</v>
      </c>
      <c r="H1894">
        <v>291.81</v>
      </c>
      <c r="I1894" t="s">
        <v>16</v>
      </c>
      <c r="J1894">
        <v>1919</v>
      </c>
      <c r="K1894">
        <v>4</v>
      </c>
    </row>
    <row r="1895" spans="1:11">
      <c r="A1895" t="s">
        <v>1942</v>
      </c>
      <c r="B1895" t="s">
        <v>31</v>
      </c>
      <c r="C1895" t="s">
        <v>45</v>
      </c>
      <c r="D1895" t="s">
        <v>19</v>
      </c>
      <c r="E1895" s="1">
        <v>45090</v>
      </c>
      <c r="F1895" s="1">
        <v>45094</v>
      </c>
      <c r="G1895">
        <v>37</v>
      </c>
      <c r="H1895">
        <v>279.2</v>
      </c>
      <c r="I1895" t="s">
        <v>16</v>
      </c>
      <c r="J1895">
        <v>1506</v>
      </c>
      <c r="K1895">
        <v>4</v>
      </c>
    </row>
    <row r="1896" spans="1:11">
      <c r="A1896" t="s">
        <v>1943</v>
      </c>
      <c r="B1896" t="s">
        <v>40</v>
      </c>
      <c r="C1896" t="s">
        <v>55</v>
      </c>
      <c r="D1896" t="s">
        <v>19</v>
      </c>
      <c r="E1896" s="1">
        <v>45213</v>
      </c>
      <c r="F1896" s="1">
        <v>45219</v>
      </c>
      <c r="G1896">
        <v>21.6</v>
      </c>
      <c r="H1896">
        <v>334.73</v>
      </c>
      <c r="I1896" t="s">
        <v>16</v>
      </c>
      <c r="J1896">
        <v>2053</v>
      </c>
      <c r="K1896">
        <v>6</v>
      </c>
    </row>
    <row r="1897" spans="1:11">
      <c r="A1897" t="s">
        <v>1944</v>
      </c>
      <c r="B1897" t="s">
        <v>36</v>
      </c>
      <c r="C1897" t="s">
        <v>82</v>
      </c>
      <c r="D1897" t="s">
        <v>15</v>
      </c>
      <c r="E1897" s="1">
        <v>45166</v>
      </c>
      <c r="F1897" s="1">
        <v>45169</v>
      </c>
      <c r="G1897">
        <v>40.700000000000003</v>
      </c>
      <c r="H1897">
        <v>175.45</v>
      </c>
      <c r="I1897" t="s">
        <v>16</v>
      </c>
      <c r="J1897">
        <v>1000</v>
      </c>
      <c r="K1897">
        <v>3</v>
      </c>
    </row>
    <row r="1898" spans="1:11">
      <c r="A1898" t="s">
        <v>1945</v>
      </c>
      <c r="B1898" t="s">
        <v>52</v>
      </c>
      <c r="C1898" t="s">
        <v>58</v>
      </c>
      <c r="D1898" t="s">
        <v>33</v>
      </c>
      <c r="E1898" s="1">
        <v>45168</v>
      </c>
      <c r="F1898" s="1">
        <v>45176</v>
      </c>
      <c r="G1898">
        <v>84.8</v>
      </c>
      <c r="H1898">
        <v>383.33</v>
      </c>
      <c r="I1898" t="s">
        <v>16</v>
      </c>
      <c r="J1898">
        <v>2141</v>
      </c>
      <c r="K1898">
        <v>8</v>
      </c>
    </row>
    <row r="1899" spans="1:11">
      <c r="A1899" t="s">
        <v>1946</v>
      </c>
      <c r="B1899" t="s">
        <v>40</v>
      </c>
      <c r="C1899" t="s">
        <v>25</v>
      </c>
      <c r="D1899" t="s">
        <v>38</v>
      </c>
      <c r="E1899" s="1">
        <v>45284</v>
      </c>
      <c r="F1899" s="1">
        <v>45289</v>
      </c>
      <c r="G1899">
        <v>13.7</v>
      </c>
      <c r="H1899">
        <v>328.21</v>
      </c>
      <c r="I1899" t="s">
        <v>16</v>
      </c>
      <c r="J1899">
        <v>2225</v>
      </c>
      <c r="K1899">
        <v>5</v>
      </c>
    </row>
    <row r="1900" spans="1:11">
      <c r="A1900" t="s">
        <v>1947</v>
      </c>
      <c r="B1900" t="s">
        <v>36</v>
      </c>
      <c r="C1900" t="s">
        <v>55</v>
      </c>
      <c r="D1900" t="s">
        <v>43</v>
      </c>
      <c r="E1900" s="1">
        <v>45048</v>
      </c>
      <c r="F1900" s="1">
        <v>45051</v>
      </c>
      <c r="G1900">
        <v>20.5</v>
      </c>
      <c r="H1900">
        <v>171.02</v>
      </c>
      <c r="I1900" t="s">
        <v>16</v>
      </c>
      <c r="J1900">
        <v>1350</v>
      </c>
      <c r="K1900">
        <v>3</v>
      </c>
    </row>
    <row r="1901" spans="1:11">
      <c r="A1901" t="s">
        <v>1948</v>
      </c>
      <c r="B1901" t="s">
        <v>50</v>
      </c>
      <c r="C1901" t="s">
        <v>71</v>
      </c>
      <c r="D1901" t="s">
        <v>60</v>
      </c>
      <c r="E1901" s="1">
        <v>45246</v>
      </c>
      <c r="F1901" s="1">
        <v>45252</v>
      </c>
      <c r="G1901">
        <v>9.1999999999999993</v>
      </c>
      <c r="I1901" t="s">
        <v>16</v>
      </c>
      <c r="J1901">
        <v>2393</v>
      </c>
      <c r="K1901">
        <v>6</v>
      </c>
    </row>
    <row r="1902" spans="1:11">
      <c r="A1902" t="s">
        <v>1949</v>
      </c>
      <c r="B1902" t="s">
        <v>50</v>
      </c>
      <c r="C1902" t="s">
        <v>18</v>
      </c>
      <c r="D1902" t="s">
        <v>19</v>
      </c>
      <c r="E1902" s="1">
        <v>45272</v>
      </c>
      <c r="F1902" s="1">
        <v>45282</v>
      </c>
      <c r="G1902">
        <v>78.2</v>
      </c>
      <c r="H1902">
        <v>211.42</v>
      </c>
      <c r="I1902" t="s">
        <v>48</v>
      </c>
      <c r="J1902">
        <v>620</v>
      </c>
      <c r="K1902">
        <v>2</v>
      </c>
    </row>
    <row r="1903" spans="1:11">
      <c r="A1903" t="s">
        <v>1950</v>
      </c>
      <c r="B1903" t="s">
        <v>31</v>
      </c>
      <c r="C1903" t="s">
        <v>25</v>
      </c>
      <c r="D1903" t="s">
        <v>38</v>
      </c>
      <c r="E1903" s="1">
        <v>45059</v>
      </c>
      <c r="F1903" s="1">
        <v>45064</v>
      </c>
      <c r="G1903">
        <v>17.2</v>
      </c>
      <c r="H1903">
        <v>247.67</v>
      </c>
      <c r="I1903" t="s">
        <v>16</v>
      </c>
      <c r="J1903">
        <v>2018</v>
      </c>
      <c r="K1903">
        <v>5</v>
      </c>
    </row>
    <row r="1904" spans="1:11">
      <c r="A1904" t="s">
        <v>1951</v>
      </c>
      <c r="B1904" t="s">
        <v>57</v>
      </c>
      <c r="C1904" t="s">
        <v>58</v>
      </c>
      <c r="D1904" t="s">
        <v>38</v>
      </c>
      <c r="E1904" s="1">
        <v>45115</v>
      </c>
      <c r="F1904" s="1">
        <v>45119</v>
      </c>
      <c r="G1904">
        <v>14.7</v>
      </c>
      <c r="H1904">
        <v>243.7</v>
      </c>
      <c r="I1904" t="s">
        <v>16</v>
      </c>
      <c r="J1904">
        <v>1949</v>
      </c>
      <c r="K1904">
        <v>4</v>
      </c>
    </row>
    <row r="1905" spans="1:11">
      <c r="A1905" t="s">
        <v>1952</v>
      </c>
      <c r="B1905" t="s">
        <v>40</v>
      </c>
      <c r="C1905" t="s">
        <v>18</v>
      </c>
      <c r="D1905" t="s">
        <v>33</v>
      </c>
      <c r="E1905" s="1">
        <v>45058</v>
      </c>
      <c r="F1905" s="1">
        <v>45061</v>
      </c>
      <c r="G1905">
        <v>18.899999999999999</v>
      </c>
      <c r="H1905">
        <v>122.95</v>
      </c>
      <c r="I1905" t="s">
        <v>16</v>
      </c>
      <c r="J1905">
        <v>800</v>
      </c>
      <c r="K1905">
        <v>3</v>
      </c>
    </row>
    <row r="1906" spans="1:11">
      <c r="A1906" t="s">
        <v>1953</v>
      </c>
      <c r="B1906" t="s">
        <v>40</v>
      </c>
      <c r="C1906" t="s">
        <v>41</v>
      </c>
      <c r="D1906" t="s">
        <v>33</v>
      </c>
      <c r="E1906" s="1">
        <v>44993</v>
      </c>
      <c r="F1906" s="1">
        <v>44998</v>
      </c>
      <c r="G1906">
        <v>8.1</v>
      </c>
      <c r="H1906">
        <v>290.02</v>
      </c>
      <c r="I1906" t="s">
        <v>16</v>
      </c>
      <c r="J1906">
        <v>2307</v>
      </c>
      <c r="K1906">
        <v>5</v>
      </c>
    </row>
    <row r="1907" spans="1:11">
      <c r="A1907" t="s">
        <v>1954</v>
      </c>
      <c r="B1907" t="s">
        <v>50</v>
      </c>
      <c r="C1907" t="s">
        <v>41</v>
      </c>
      <c r="D1907" t="s">
        <v>43</v>
      </c>
      <c r="E1907" s="1">
        <v>44938</v>
      </c>
      <c r="F1907" s="1">
        <v>44944</v>
      </c>
      <c r="G1907">
        <v>44.3</v>
      </c>
      <c r="H1907">
        <v>311.3</v>
      </c>
      <c r="I1907" t="s">
        <v>16</v>
      </c>
      <c r="J1907">
        <v>2041</v>
      </c>
      <c r="K1907">
        <v>6</v>
      </c>
    </row>
    <row r="1908" spans="1:11">
      <c r="A1908" t="s">
        <v>1955</v>
      </c>
      <c r="B1908" t="s">
        <v>36</v>
      </c>
      <c r="C1908" t="s">
        <v>32</v>
      </c>
      <c r="D1908" t="s">
        <v>19</v>
      </c>
      <c r="E1908" s="1">
        <v>45096</v>
      </c>
      <c r="F1908" s="1">
        <v>45099</v>
      </c>
      <c r="G1908">
        <v>59.9</v>
      </c>
      <c r="H1908">
        <v>183.69</v>
      </c>
      <c r="I1908" t="s">
        <v>16</v>
      </c>
      <c r="J1908">
        <v>628</v>
      </c>
      <c r="K1908">
        <v>3</v>
      </c>
    </row>
    <row r="1909" spans="1:11">
      <c r="A1909" t="s">
        <v>1956</v>
      </c>
      <c r="B1909" t="s">
        <v>57</v>
      </c>
      <c r="C1909" t="s">
        <v>37</v>
      </c>
      <c r="D1909" t="s">
        <v>43</v>
      </c>
      <c r="E1909" s="1">
        <v>44941</v>
      </c>
      <c r="F1909" s="1">
        <v>44948</v>
      </c>
      <c r="G1909">
        <v>8.8000000000000007</v>
      </c>
      <c r="H1909">
        <v>210.56</v>
      </c>
      <c r="I1909" t="s">
        <v>61</v>
      </c>
      <c r="J1909">
        <v>1852</v>
      </c>
      <c r="K1909">
        <v>7</v>
      </c>
    </row>
    <row r="1910" spans="1:11">
      <c r="A1910" t="s">
        <v>1957</v>
      </c>
      <c r="B1910" t="s">
        <v>36</v>
      </c>
      <c r="C1910" t="s">
        <v>71</v>
      </c>
      <c r="D1910" t="s">
        <v>33</v>
      </c>
      <c r="E1910" s="1">
        <v>44987</v>
      </c>
      <c r="F1910" s="1">
        <v>44989</v>
      </c>
      <c r="G1910">
        <v>10.5</v>
      </c>
      <c r="H1910">
        <v>33.67</v>
      </c>
      <c r="I1910" t="s">
        <v>16</v>
      </c>
      <c r="J1910">
        <v>162</v>
      </c>
      <c r="K1910">
        <v>2</v>
      </c>
    </row>
    <row r="1911" spans="1:11">
      <c r="A1911" t="s">
        <v>1958</v>
      </c>
      <c r="B1911" t="s">
        <v>36</v>
      </c>
      <c r="C1911" t="s">
        <v>45</v>
      </c>
      <c r="D1911" t="s">
        <v>38</v>
      </c>
      <c r="E1911" s="1">
        <v>45063</v>
      </c>
      <c r="F1911" s="1">
        <v>45069</v>
      </c>
      <c r="G1911">
        <v>16.600000000000001</v>
      </c>
      <c r="H1911">
        <v>256.68</v>
      </c>
      <c r="I1911" t="s">
        <v>68</v>
      </c>
      <c r="J1911">
        <v>1995</v>
      </c>
      <c r="K1911">
        <v>6</v>
      </c>
    </row>
    <row r="1912" spans="1:11">
      <c r="A1912" t="s">
        <v>1959</v>
      </c>
      <c r="B1912" t="s">
        <v>13</v>
      </c>
      <c r="C1912" t="s">
        <v>58</v>
      </c>
      <c r="D1912" t="s">
        <v>19</v>
      </c>
      <c r="E1912" s="1">
        <v>45184</v>
      </c>
      <c r="F1912" s="1">
        <v>45193</v>
      </c>
      <c r="G1912">
        <v>23.5</v>
      </c>
      <c r="H1912">
        <v>213.18</v>
      </c>
      <c r="I1912" t="s">
        <v>16</v>
      </c>
      <c r="J1912">
        <v>1469</v>
      </c>
      <c r="K1912">
        <v>9</v>
      </c>
    </row>
    <row r="1913" spans="1:11">
      <c r="A1913" t="s">
        <v>1960</v>
      </c>
      <c r="B1913" t="s">
        <v>36</v>
      </c>
      <c r="C1913" t="s">
        <v>82</v>
      </c>
      <c r="D1913" t="s">
        <v>33</v>
      </c>
      <c r="E1913" s="1">
        <v>44955</v>
      </c>
      <c r="F1913" s="1">
        <v>44959</v>
      </c>
      <c r="G1913">
        <v>34.9</v>
      </c>
      <c r="H1913">
        <v>162.44</v>
      </c>
      <c r="I1913" t="s">
        <v>16</v>
      </c>
      <c r="J1913">
        <v>1000</v>
      </c>
      <c r="K1913">
        <v>4</v>
      </c>
    </row>
    <row r="1914" spans="1:11">
      <c r="A1914" t="s">
        <v>1961</v>
      </c>
      <c r="B1914" t="s">
        <v>21</v>
      </c>
      <c r="C1914" t="s">
        <v>37</v>
      </c>
      <c r="D1914" t="s">
        <v>15</v>
      </c>
      <c r="E1914" s="1">
        <v>45067</v>
      </c>
      <c r="F1914" s="1">
        <v>45074</v>
      </c>
      <c r="G1914">
        <v>14.6</v>
      </c>
      <c r="H1914">
        <v>1597.99</v>
      </c>
      <c r="I1914" t="s">
        <v>16</v>
      </c>
      <c r="J1914">
        <v>2187</v>
      </c>
      <c r="K1914">
        <v>7</v>
      </c>
    </row>
    <row r="1915" spans="1:11">
      <c r="A1915" t="s">
        <v>1962</v>
      </c>
      <c r="B1915" t="s">
        <v>52</v>
      </c>
      <c r="C1915" t="s">
        <v>55</v>
      </c>
      <c r="D1915" t="s">
        <v>43</v>
      </c>
      <c r="E1915" s="1">
        <v>44963</v>
      </c>
      <c r="F1915" s="1">
        <v>44967</v>
      </c>
      <c r="G1915">
        <v>49</v>
      </c>
      <c r="H1915">
        <v>265.52</v>
      </c>
      <c r="I1915" t="s">
        <v>16</v>
      </c>
      <c r="J1915">
        <v>1875</v>
      </c>
      <c r="K1915">
        <v>4</v>
      </c>
    </row>
    <row r="1916" spans="1:11">
      <c r="A1916" t="s">
        <v>1963</v>
      </c>
      <c r="B1916" t="s">
        <v>40</v>
      </c>
      <c r="C1916" t="s">
        <v>22</v>
      </c>
      <c r="D1916" t="s">
        <v>38</v>
      </c>
      <c r="E1916" s="1">
        <v>45205</v>
      </c>
      <c r="F1916" s="1">
        <v>45209</v>
      </c>
      <c r="G1916">
        <v>82.4</v>
      </c>
      <c r="H1916">
        <v>279.42</v>
      </c>
      <c r="I1916" t="s">
        <v>16</v>
      </c>
      <c r="J1916">
        <v>1705</v>
      </c>
      <c r="K1916">
        <v>4</v>
      </c>
    </row>
    <row r="1917" spans="1:11">
      <c r="A1917" t="s">
        <v>1964</v>
      </c>
      <c r="B1917" t="s">
        <v>28</v>
      </c>
      <c r="C1917" t="s">
        <v>32</v>
      </c>
      <c r="D1917" t="s">
        <v>60</v>
      </c>
      <c r="E1917" s="1">
        <v>45147</v>
      </c>
      <c r="F1917" s="1">
        <v>45151</v>
      </c>
      <c r="G1917">
        <v>23.5</v>
      </c>
      <c r="H1917">
        <v>79.709999999999994</v>
      </c>
      <c r="I1917" t="s">
        <v>16</v>
      </c>
      <c r="J1917">
        <v>409</v>
      </c>
      <c r="K1917">
        <v>4</v>
      </c>
    </row>
    <row r="1918" spans="1:11">
      <c r="A1918" t="s">
        <v>1965</v>
      </c>
      <c r="B1918" t="s">
        <v>50</v>
      </c>
      <c r="C1918" t="s">
        <v>25</v>
      </c>
      <c r="D1918" t="s">
        <v>60</v>
      </c>
      <c r="E1918" s="1">
        <v>45092</v>
      </c>
      <c r="F1918" s="1">
        <v>45094</v>
      </c>
      <c r="G1918">
        <v>17.2</v>
      </c>
      <c r="H1918">
        <v>84.6</v>
      </c>
      <c r="I1918" t="s">
        <v>16</v>
      </c>
      <c r="J1918">
        <v>513</v>
      </c>
      <c r="K1918">
        <v>2</v>
      </c>
    </row>
    <row r="1919" spans="1:11">
      <c r="A1919" t="s">
        <v>1966</v>
      </c>
      <c r="B1919" t="s">
        <v>24</v>
      </c>
      <c r="C1919" t="s">
        <v>82</v>
      </c>
      <c r="D1919" t="s">
        <v>43</v>
      </c>
      <c r="E1919" s="1">
        <v>45033</v>
      </c>
      <c r="F1919" s="1">
        <v>45040</v>
      </c>
      <c r="G1919">
        <v>21.1</v>
      </c>
      <c r="H1919">
        <v>256.12</v>
      </c>
      <c r="I1919" t="s">
        <v>16</v>
      </c>
      <c r="J1919">
        <v>1974</v>
      </c>
      <c r="K1919">
        <v>7</v>
      </c>
    </row>
    <row r="1920" spans="1:11">
      <c r="A1920" t="s">
        <v>1967</v>
      </c>
      <c r="B1920" t="s">
        <v>52</v>
      </c>
      <c r="C1920" t="s">
        <v>47</v>
      </c>
      <c r="D1920" t="s">
        <v>60</v>
      </c>
      <c r="E1920" s="1">
        <v>45268</v>
      </c>
      <c r="F1920" s="1">
        <v>45271</v>
      </c>
      <c r="G1920">
        <v>6.7</v>
      </c>
      <c r="H1920">
        <v>42.11</v>
      </c>
      <c r="I1920" t="s">
        <v>48</v>
      </c>
      <c r="J1920">
        <v>215</v>
      </c>
      <c r="K1920">
        <v>1</v>
      </c>
    </row>
    <row r="1921" spans="1:11">
      <c r="A1921" t="s">
        <v>1968</v>
      </c>
      <c r="B1921" t="s">
        <v>57</v>
      </c>
      <c r="C1921" t="s">
        <v>25</v>
      </c>
      <c r="D1921" t="s">
        <v>26</v>
      </c>
      <c r="E1921" s="1">
        <v>45037</v>
      </c>
      <c r="F1921" s="1">
        <v>45039</v>
      </c>
      <c r="G1921">
        <v>17.399999999999999</v>
      </c>
      <c r="H1921">
        <v>59.13</v>
      </c>
      <c r="I1921" t="s">
        <v>16</v>
      </c>
      <c r="J1921">
        <v>284</v>
      </c>
      <c r="K1921">
        <v>2</v>
      </c>
    </row>
    <row r="1922" spans="1:11">
      <c r="A1922" t="s">
        <v>1969</v>
      </c>
      <c r="B1922" t="s">
        <v>21</v>
      </c>
      <c r="C1922" t="s">
        <v>37</v>
      </c>
      <c r="D1922" t="s">
        <v>33</v>
      </c>
      <c r="E1922" s="1">
        <v>45231</v>
      </c>
      <c r="F1922" s="1">
        <v>45234</v>
      </c>
      <c r="G1922">
        <v>31.2</v>
      </c>
      <c r="H1922">
        <v>228.61</v>
      </c>
      <c r="I1922" t="s">
        <v>61</v>
      </c>
      <c r="J1922">
        <v>1128</v>
      </c>
      <c r="K1922">
        <v>3</v>
      </c>
    </row>
    <row r="1923" spans="1:11">
      <c r="A1923" t="s">
        <v>1970</v>
      </c>
      <c r="B1923" t="s">
        <v>40</v>
      </c>
      <c r="C1923" t="s">
        <v>14</v>
      </c>
      <c r="D1923" t="s">
        <v>43</v>
      </c>
      <c r="E1923" s="1">
        <v>45179</v>
      </c>
      <c r="F1923" s="1">
        <v>45180</v>
      </c>
      <c r="G1923">
        <v>25.7</v>
      </c>
      <c r="H1923">
        <v>55.3</v>
      </c>
      <c r="I1923" t="s">
        <v>16</v>
      </c>
      <c r="J1923">
        <v>231</v>
      </c>
      <c r="K1923">
        <v>1</v>
      </c>
    </row>
    <row r="1924" spans="1:11">
      <c r="A1924" t="s">
        <v>1971</v>
      </c>
      <c r="B1924" t="s">
        <v>13</v>
      </c>
      <c r="C1924" t="s">
        <v>82</v>
      </c>
      <c r="D1924" t="s">
        <v>26</v>
      </c>
      <c r="E1924" s="1">
        <v>44955</v>
      </c>
      <c r="F1924" s="1">
        <v>44959</v>
      </c>
      <c r="G1924">
        <v>35.6</v>
      </c>
      <c r="H1924">
        <v>107.89</v>
      </c>
      <c r="I1924" t="s">
        <v>16</v>
      </c>
      <c r="J1924">
        <v>542</v>
      </c>
      <c r="K1924">
        <v>4</v>
      </c>
    </row>
    <row r="1925" spans="1:11">
      <c r="A1925" t="s">
        <v>1972</v>
      </c>
      <c r="B1925" t="s">
        <v>57</v>
      </c>
      <c r="C1925" t="s">
        <v>32</v>
      </c>
      <c r="D1925" t="s">
        <v>26</v>
      </c>
      <c r="E1925" s="1">
        <v>45092</v>
      </c>
      <c r="F1925" s="1">
        <v>45093</v>
      </c>
      <c r="G1925">
        <v>29.4</v>
      </c>
      <c r="H1925">
        <v>116.46</v>
      </c>
      <c r="I1925" t="s">
        <v>16</v>
      </c>
      <c r="J1925">
        <v>636</v>
      </c>
      <c r="K1925">
        <v>1</v>
      </c>
    </row>
    <row r="1926" spans="1:11">
      <c r="A1926" t="s">
        <v>1973</v>
      </c>
      <c r="B1926" t="s">
        <v>52</v>
      </c>
      <c r="C1926" t="s">
        <v>37</v>
      </c>
      <c r="D1926" t="s">
        <v>60</v>
      </c>
      <c r="E1926" s="1">
        <v>45140</v>
      </c>
      <c r="F1926" s="1">
        <v>45145</v>
      </c>
      <c r="G1926">
        <v>16.7</v>
      </c>
      <c r="H1926">
        <v>179.65</v>
      </c>
      <c r="I1926" t="s">
        <v>16</v>
      </c>
      <c r="J1926">
        <v>1438</v>
      </c>
      <c r="K1926">
        <v>5</v>
      </c>
    </row>
    <row r="1927" spans="1:11">
      <c r="A1927" t="s">
        <v>1974</v>
      </c>
      <c r="B1927" t="s">
        <v>24</v>
      </c>
      <c r="C1927" t="s">
        <v>53</v>
      </c>
      <c r="D1927" t="s">
        <v>38</v>
      </c>
      <c r="E1927" s="1">
        <v>45100</v>
      </c>
      <c r="F1927" s="1">
        <v>45102</v>
      </c>
      <c r="G1927">
        <v>7.2</v>
      </c>
      <c r="H1927">
        <v>97.04</v>
      </c>
      <c r="I1927" t="s">
        <v>16</v>
      </c>
      <c r="J1927">
        <v>822</v>
      </c>
      <c r="K1927">
        <v>2</v>
      </c>
    </row>
    <row r="1928" spans="1:11">
      <c r="A1928" t="s">
        <v>1975</v>
      </c>
      <c r="B1928" t="s">
        <v>40</v>
      </c>
      <c r="C1928" t="s">
        <v>53</v>
      </c>
      <c r="D1928" t="s">
        <v>38</v>
      </c>
      <c r="E1928" s="1">
        <v>45210</v>
      </c>
      <c r="F1928" s="1">
        <v>45213</v>
      </c>
      <c r="G1928">
        <v>11.7</v>
      </c>
      <c r="H1928">
        <v>94.37</v>
      </c>
      <c r="I1928" t="s">
        <v>16</v>
      </c>
      <c r="J1928">
        <v>744</v>
      </c>
      <c r="K1928">
        <v>3</v>
      </c>
    </row>
    <row r="1929" spans="1:11">
      <c r="A1929" t="s">
        <v>1976</v>
      </c>
      <c r="B1929" t="s">
        <v>13</v>
      </c>
      <c r="C1929" t="s">
        <v>37</v>
      </c>
      <c r="D1929" t="s">
        <v>15</v>
      </c>
      <c r="E1929" s="1">
        <v>45133</v>
      </c>
      <c r="F1929" s="1">
        <v>45138</v>
      </c>
      <c r="G1929">
        <v>27.6</v>
      </c>
      <c r="H1929">
        <v>242.8</v>
      </c>
      <c r="I1929" t="s">
        <v>16</v>
      </c>
      <c r="J1929">
        <v>1549</v>
      </c>
      <c r="K1929">
        <v>5</v>
      </c>
    </row>
    <row r="1930" spans="1:11">
      <c r="A1930" t="s">
        <v>1977</v>
      </c>
      <c r="B1930" t="s">
        <v>21</v>
      </c>
      <c r="C1930" t="s">
        <v>53</v>
      </c>
      <c r="D1930" t="s">
        <v>43</v>
      </c>
      <c r="E1930" s="1">
        <v>44957</v>
      </c>
      <c r="F1930" s="1">
        <v>44960</v>
      </c>
      <c r="G1930">
        <v>20.5</v>
      </c>
      <c r="H1930">
        <v>75.98</v>
      </c>
      <c r="I1930" t="s">
        <v>16</v>
      </c>
      <c r="J1930">
        <v>373</v>
      </c>
      <c r="K1930">
        <v>3</v>
      </c>
    </row>
    <row r="1931" spans="1:11">
      <c r="A1931" t="s">
        <v>1978</v>
      </c>
      <c r="B1931" t="s">
        <v>28</v>
      </c>
      <c r="C1931" t="s">
        <v>55</v>
      </c>
      <c r="D1931" t="s">
        <v>43</v>
      </c>
      <c r="E1931" s="1">
        <v>45038</v>
      </c>
      <c r="F1931" s="1">
        <v>45044</v>
      </c>
      <c r="G1931">
        <v>41</v>
      </c>
      <c r="H1931">
        <v>321.14999999999998</v>
      </c>
      <c r="I1931" t="s">
        <v>16</v>
      </c>
      <c r="J1931">
        <v>2478</v>
      </c>
      <c r="K1931">
        <v>6</v>
      </c>
    </row>
    <row r="1932" spans="1:11">
      <c r="A1932" t="s">
        <v>1979</v>
      </c>
      <c r="B1932" t="s">
        <v>13</v>
      </c>
      <c r="C1932" t="s">
        <v>25</v>
      </c>
      <c r="D1932" t="s">
        <v>26</v>
      </c>
      <c r="E1932" s="1">
        <v>45020</v>
      </c>
      <c r="F1932" s="1">
        <v>45021</v>
      </c>
      <c r="G1932">
        <v>13.8</v>
      </c>
      <c r="H1932">
        <v>30.2</v>
      </c>
      <c r="I1932" t="s">
        <v>16</v>
      </c>
      <c r="J1932">
        <v>142</v>
      </c>
      <c r="K1932">
        <v>1</v>
      </c>
    </row>
    <row r="1933" spans="1:11">
      <c r="A1933" t="s">
        <v>1980</v>
      </c>
      <c r="B1933" t="s">
        <v>21</v>
      </c>
      <c r="C1933" t="s">
        <v>25</v>
      </c>
      <c r="D1933" t="s">
        <v>60</v>
      </c>
      <c r="E1933" s="1">
        <v>45180</v>
      </c>
      <c r="F1933" s="1">
        <v>45183</v>
      </c>
      <c r="G1933">
        <v>34.200000000000003</v>
      </c>
      <c r="H1933">
        <v>156.85</v>
      </c>
      <c r="I1933" t="s">
        <v>16</v>
      </c>
      <c r="J1933">
        <v>1135</v>
      </c>
      <c r="K1933">
        <v>3</v>
      </c>
    </row>
    <row r="1934" spans="1:11">
      <c r="A1934" t="s">
        <v>1981</v>
      </c>
      <c r="B1934" t="s">
        <v>24</v>
      </c>
      <c r="C1934" t="s">
        <v>82</v>
      </c>
      <c r="D1934" t="s">
        <v>19</v>
      </c>
      <c r="E1934" s="1">
        <v>45271</v>
      </c>
      <c r="F1934" s="1">
        <v>45274</v>
      </c>
      <c r="G1934">
        <v>10.4</v>
      </c>
      <c r="I1934" t="s">
        <v>16</v>
      </c>
      <c r="J1934">
        <v>1467</v>
      </c>
      <c r="K1934">
        <v>3</v>
      </c>
    </row>
    <row r="1935" spans="1:11">
      <c r="A1935" t="s">
        <v>1982</v>
      </c>
      <c r="B1935" t="s">
        <v>57</v>
      </c>
      <c r="C1935" t="s">
        <v>55</v>
      </c>
      <c r="D1935" t="s">
        <v>60</v>
      </c>
      <c r="E1935" s="1">
        <v>45142</v>
      </c>
      <c r="F1935" s="1">
        <v>45148</v>
      </c>
      <c r="G1935">
        <v>20.3</v>
      </c>
      <c r="H1935">
        <v>295.36</v>
      </c>
      <c r="I1935" t="s">
        <v>16</v>
      </c>
      <c r="J1935">
        <v>2353</v>
      </c>
      <c r="K1935">
        <v>6</v>
      </c>
    </row>
    <row r="1936" spans="1:11">
      <c r="A1936" t="s">
        <v>1983</v>
      </c>
      <c r="B1936" t="s">
        <v>40</v>
      </c>
      <c r="C1936" t="s">
        <v>41</v>
      </c>
      <c r="D1936" t="s">
        <v>43</v>
      </c>
      <c r="E1936" s="1">
        <v>44988</v>
      </c>
      <c r="F1936" s="1">
        <v>44991</v>
      </c>
      <c r="G1936">
        <v>9.9</v>
      </c>
      <c r="H1936">
        <v>161.25</v>
      </c>
      <c r="I1936" t="s">
        <v>16</v>
      </c>
      <c r="J1936">
        <v>1163</v>
      </c>
      <c r="K1936">
        <v>3</v>
      </c>
    </row>
    <row r="1937" spans="1:11">
      <c r="A1937" t="s">
        <v>1984</v>
      </c>
      <c r="B1937" t="s">
        <v>36</v>
      </c>
      <c r="C1937" t="s">
        <v>41</v>
      </c>
      <c r="D1937" t="s">
        <v>38</v>
      </c>
      <c r="E1937" s="1">
        <v>45103</v>
      </c>
      <c r="F1937" s="1">
        <v>45104</v>
      </c>
      <c r="G1937">
        <v>9.5</v>
      </c>
      <c r="H1937">
        <v>43.35</v>
      </c>
      <c r="I1937" t="s">
        <v>16</v>
      </c>
      <c r="J1937">
        <v>283</v>
      </c>
      <c r="K1937">
        <v>1</v>
      </c>
    </row>
    <row r="1938" spans="1:11">
      <c r="A1938" t="s">
        <v>1985</v>
      </c>
      <c r="B1938" t="s">
        <v>31</v>
      </c>
      <c r="C1938" t="s">
        <v>29</v>
      </c>
      <c r="D1938" t="s">
        <v>38</v>
      </c>
      <c r="E1938" s="1">
        <v>45260</v>
      </c>
      <c r="F1938" s="1">
        <v>45263</v>
      </c>
      <c r="G1938">
        <v>27</v>
      </c>
      <c r="H1938">
        <v>188.63</v>
      </c>
      <c r="I1938" t="s">
        <v>16</v>
      </c>
      <c r="J1938">
        <v>1068</v>
      </c>
      <c r="K1938">
        <v>3</v>
      </c>
    </row>
    <row r="1939" spans="1:11">
      <c r="A1939" t="s">
        <v>1986</v>
      </c>
      <c r="B1939" t="s">
        <v>50</v>
      </c>
      <c r="C1939" t="s">
        <v>47</v>
      </c>
      <c r="D1939" t="s">
        <v>38</v>
      </c>
      <c r="E1939" s="1">
        <v>45276</v>
      </c>
      <c r="F1939" s="1">
        <v>45281</v>
      </c>
      <c r="G1939">
        <v>12.9</v>
      </c>
      <c r="H1939">
        <v>305.45</v>
      </c>
      <c r="I1939" t="s">
        <v>16</v>
      </c>
      <c r="J1939">
        <v>1875</v>
      </c>
      <c r="K1939">
        <v>5</v>
      </c>
    </row>
    <row r="1940" spans="1:11">
      <c r="A1940" t="s">
        <v>1987</v>
      </c>
      <c r="B1940" t="s">
        <v>21</v>
      </c>
      <c r="C1940" t="s">
        <v>41</v>
      </c>
      <c r="D1940" t="s">
        <v>33</v>
      </c>
      <c r="E1940" s="1">
        <v>45251</v>
      </c>
      <c r="F1940" s="1">
        <v>45258</v>
      </c>
      <c r="G1940">
        <v>61.7</v>
      </c>
      <c r="H1940">
        <v>455.69</v>
      </c>
      <c r="I1940" t="s">
        <v>16</v>
      </c>
      <c r="J1940">
        <v>2430</v>
      </c>
      <c r="K1940">
        <v>7</v>
      </c>
    </row>
    <row r="1941" spans="1:11">
      <c r="A1941" t="s">
        <v>1988</v>
      </c>
      <c r="B1941" t="s">
        <v>28</v>
      </c>
      <c r="C1941" t="s">
        <v>37</v>
      </c>
      <c r="D1941" t="s">
        <v>43</v>
      </c>
      <c r="E1941" s="1">
        <v>45030</v>
      </c>
      <c r="F1941" s="1">
        <v>45032</v>
      </c>
      <c r="G1941">
        <v>25.3</v>
      </c>
      <c r="H1941">
        <v>92.95</v>
      </c>
      <c r="I1941" t="s">
        <v>16</v>
      </c>
      <c r="J1941">
        <v>505</v>
      </c>
      <c r="K1941">
        <v>2</v>
      </c>
    </row>
    <row r="1942" spans="1:11">
      <c r="A1942" t="s">
        <v>1989</v>
      </c>
      <c r="B1942" t="s">
        <v>21</v>
      </c>
      <c r="C1942" t="s">
        <v>25</v>
      </c>
      <c r="D1942" t="s">
        <v>26</v>
      </c>
      <c r="E1942" s="1">
        <v>45112</v>
      </c>
      <c r="F1942" s="1">
        <v>45117</v>
      </c>
      <c r="G1942">
        <v>26.4</v>
      </c>
      <c r="H1942">
        <v>161.78</v>
      </c>
      <c r="I1942" t="s">
        <v>16</v>
      </c>
      <c r="J1942">
        <v>1135</v>
      </c>
      <c r="K1942">
        <v>5</v>
      </c>
    </row>
    <row r="1943" spans="1:11">
      <c r="A1943" t="s">
        <v>1990</v>
      </c>
      <c r="B1943" t="s">
        <v>31</v>
      </c>
      <c r="C1943" t="s">
        <v>58</v>
      </c>
      <c r="D1943" t="s">
        <v>60</v>
      </c>
      <c r="E1943" s="1">
        <v>45095</v>
      </c>
      <c r="F1943" s="1">
        <v>45099</v>
      </c>
      <c r="G1943">
        <v>69</v>
      </c>
      <c r="H1943">
        <v>302.62</v>
      </c>
      <c r="I1943" t="s">
        <v>61</v>
      </c>
      <c r="J1943">
        <v>1868</v>
      </c>
      <c r="K1943">
        <v>4</v>
      </c>
    </row>
    <row r="1944" spans="1:11">
      <c r="A1944" t="s">
        <v>1991</v>
      </c>
      <c r="B1944" t="s">
        <v>31</v>
      </c>
      <c r="C1944" t="s">
        <v>37</v>
      </c>
      <c r="D1944" t="s">
        <v>60</v>
      </c>
      <c r="E1944" s="1">
        <v>45223</v>
      </c>
      <c r="F1944" s="1">
        <v>45230</v>
      </c>
      <c r="G1944">
        <v>17</v>
      </c>
      <c r="H1944">
        <v>283.07</v>
      </c>
      <c r="I1944" t="s">
        <v>16</v>
      </c>
      <c r="J1944">
        <v>2191</v>
      </c>
      <c r="K1944">
        <v>7</v>
      </c>
    </row>
    <row r="1945" spans="1:11">
      <c r="A1945" t="s">
        <v>1992</v>
      </c>
      <c r="B1945" t="s">
        <v>50</v>
      </c>
      <c r="C1945" t="s">
        <v>45</v>
      </c>
      <c r="D1945" t="s">
        <v>60</v>
      </c>
      <c r="E1945" s="1">
        <v>45169</v>
      </c>
      <c r="F1945" s="1">
        <v>45171</v>
      </c>
      <c r="G1945">
        <v>18</v>
      </c>
      <c r="I1945" t="s">
        <v>16</v>
      </c>
      <c r="J1945">
        <v>971</v>
      </c>
      <c r="K1945">
        <v>2</v>
      </c>
    </row>
    <row r="1946" spans="1:11">
      <c r="A1946" t="s">
        <v>1993</v>
      </c>
      <c r="B1946" t="s">
        <v>21</v>
      </c>
      <c r="C1946" t="s">
        <v>32</v>
      </c>
      <c r="D1946" t="s">
        <v>15</v>
      </c>
      <c r="E1946" s="1">
        <v>45289</v>
      </c>
      <c r="F1946" s="1">
        <v>45295</v>
      </c>
      <c r="G1946">
        <v>15.9</v>
      </c>
      <c r="H1946">
        <v>329.11</v>
      </c>
      <c r="I1946" t="s">
        <v>16</v>
      </c>
      <c r="J1946">
        <v>1899</v>
      </c>
      <c r="K1946">
        <v>6</v>
      </c>
    </row>
    <row r="1947" spans="1:11">
      <c r="A1947" t="s">
        <v>1994</v>
      </c>
      <c r="B1947" t="s">
        <v>28</v>
      </c>
      <c r="C1947" t="s">
        <v>45</v>
      </c>
      <c r="D1947" t="s">
        <v>43</v>
      </c>
      <c r="E1947" s="1">
        <v>44983</v>
      </c>
      <c r="F1947" s="1">
        <v>44987</v>
      </c>
      <c r="G1947">
        <v>9.1</v>
      </c>
      <c r="H1947">
        <v>210.06</v>
      </c>
      <c r="I1947" t="s">
        <v>16</v>
      </c>
      <c r="J1947">
        <v>1754</v>
      </c>
      <c r="K1947">
        <v>4</v>
      </c>
    </row>
    <row r="1948" spans="1:11">
      <c r="A1948" t="s">
        <v>1995</v>
      </c>
      <c r="B1948" t="s">
        <v>52</v>
      </c>
      <c r="C1948" t="s">
        <v>22</v>
      </c>
      <c r="D1948" t="s">
        <v>26</v>
      </c>
      <c r="E1948" s="1">
        <v>45179</v>
      </c>
      <c r="F1948" s="1">
        <v>45182</v>
      </c>
      <c r="G1948">
        <v>17.5</v>
      </c>
      <c r="H1948">
        <v>138.84</v>
      </c>
      <c r="I1948" t="s">
        <v>63</v>
      </c>
      <c r="J1948">
        <v>956</v>
      </c>
      <c r="K1948">
        <v>3</v>
      </c>
    </row>
    <row r="1949" spans="1:11">
      <c r="A1949" t="s">
        <v>1996</v>
      </c>
      <c r="B1949" t="s">
        <v>57</v>
      </c>
      <c r="C1949" t="s">
        <v>71</v>
      </c>
      <c r="D1949" t="s">
        <v>60</v>
      </c>
      <c r="E1949" s="1">
        <v>45134</v>
      </c>
      <c r="F1949" s="1">
        <v>45140</v>
      </c>
      <c r="G1949">
        <v>22.8</v>
      </c>
      <c r="H1949">
        <v>287.52</v>
      </c>
      <c r="I1949" t="s">
        <v>16</v>
      </c>
      <c r="J1949">
        <v>2114</v>
      </c>
      <c r="K1949">
        <v>6</v>
      </c>
    </row>
    <row r="1950" spans="1:11">
      <c r="A1950" t="s">
        <v>1997</v>
      </c>
      <c r="B1950" t="s">
        <v>57</v>
      </c>
      <c r="C1950" t="s">
        <v>37</v>
      </c>
      <c r="D1950" t="s">
        <v>43</v>
      </c>
      <c r="E1950" s="1">
        <v>45182</v>
      </c>
      <c r="F1950" s="1">
        <v>45185</v>
      </c>
      <c r="G1950">
        <v>10.1</v>
      </c>
      <c r="H1950">
        <v>138.88999999999999</v>
      </c>
      <c r="I1950" t="s">
        <v>16</v>
      </c>
      <c r="J1950">
        <v>1084</v>
      </c>
      <c r="K1950">
        <v>3</v>
      </c>
    </row>
    <row r="1951" spans="1:11">
      <c r="A1951" t="s">
        <v>1998</v>
      </c>
      <c r="B1951" t="s">
        <v>40</v>
      </c>
      <c r="C1951" t="s">
        <v>22</v>
      </c>
      <c r="D1951" t="s">
        <v>26</v>
      </c>
      <c r="E1951" s="1">
        <v>45038</v>
      </c>
      <c r="F1951" s="1">
        <v>45042</v>
      </c>
      <c r="G1951">
        <v>22.6</v>
      </c>
      <c r="H1951">
        <v>208.71</v>
      </c>
      <c r="I1951" t="s">
        <v>16</v>
      </c>
      <c r="J1951">
        <v>1375</v>
      </c>
      <c r="K1951">
        <v>4</v>
      </c>
    </row>
    <row r="1952" spans="1:11">
      <c r="A1952" t="s">
        <v>1999</v>
      </c>
      <c r="B1952" t="s">
        <v>40</v>
      </c>
      <c r="C1952" t="s">
        <v>82</v>
      </c>
      <c r="D1952" t="s">
        <v>15</v>
      </c>
      <c r="E1952" s="1">
        <v>45093</v>
      </c>
      <c r="F1952" s="1">
        <v>45096</v>
      </c>
      <c r="G1952">
        <v>6.9</v>
      </c>
      <c r="H1952">
        <v>133.01</v>
      </c>
      <c r="I1952" t="s">
        <v>16</v>
      </c>
      <c r="J1952">
        <v>1030</v>
      </c>
      <c r="K1952">
        <v>3</v>
      </c>
    </row>
    <row r="1953" spans="1:11">
      <c r="A1953" t="s">
        <v>2000</v>
      </c>
      <c r="B1953" t="s">
        <v>36</v>
      </c>
      <c r="C1953" t="s">
        <v>71</v>
      </c>
      <c r="D1953" t="s">
        <v>19</v>
      </c>
      <c r="E1953" s="1">
        <v>45279</v>
      </c>
      <c r="F1953" s="1">
        <v>45281</v>
      </c>
      <c r="G1953">
        <v>10.1</v>
      </c>
      <c r="H1953">
        <v>42.45</v>
      </c>
      <c r="I1953" t="s">
        <v>16</v>
      </c>
      <c r="J1953">
        <v>169</v>
      </c>
      <c r="K1953">
        <v>2</v>
      </c>
    </row>
    <row r="1954" spans="1:11">
      <c r="A1954" t="s">
        <v>2001</v>
      </c>
      <c r="B1954" t="s">
        <v>36</v>
      </c>
      <c r="C1954" t="s">
        <v>32</v>
      </c>
      <c r="D1954" t="s">
        <v>60</v>
      </c>
      <c r="E1954" s="1">
        <v>44985</v>
      </c>
      <c r="F1954" s="1">
        <v>44988</v>
      </c>
      <c r="G1954">
        <v>39</v>
      </c>
      <c r="H1954">
        <v>112.83</v>
      </c>
      <c r="I1954" t="s">
        <v>16</v>
      </c>
      <c r="J1954">
        <v>706</v>
      </c>
      <c r="K1954">
        <v>3</v>
      </c>
    </row>
    <row r="1955" spans="1:11">
      <c r="A1955" t="s">
        <v>2002</v>
      </c>
      <c r="B1955" t="s">
        <v>24</v>
      </c>
      <c r="C1955" t="s">
        <v>71</v>
      </c>
      <c r="D1955" t="s">
        <v>26</v>
      </c>
      <c r="E1955" s="1">
        <v>44975</v>
      </c>
      <c r="F1955" s="1">
        <v>44978</v>
      </c>
      <c r="G1955">
        <v>30</v>
      </c>
      <c r="H1955">
        <v>143.34</v>
      </c>
      <c r="I1955" t="s">
        <v>16</v>
      </c>
      <c r="J1955">
        <v>985</v>
      </c>
      <c r="K1955">
        <v>3</v>
      </c>
    </row>
    <row r="1956" spans="1:11">
      <c r="A1956" t="s">
        <v>2003</v>
      </c>
      <c r="B1956" t="s">
        <v>57</v>
      </c>
      <c r="C1956" t="s">
        <v>82</v>
      </c>
      <c r="D1956" t="s">
        <v>33</v>
      </c>
      <c r="E1956" s="1">
        <v>45086</v>
      </c>
      <c r="F1956" s="1">
        <v>45089</v>
      </c>
      <c r="G1956">
        <v>24</v>
      </c>
      <c r="H1956">
        <v>103.6</v>
      </c>
      <c r="I1956" t="s">
        <v>48</v>
      </c>
      <c r="J1956">
        <v>506</v>
      </c>
      <c r="K1956">
        <v>2</v>
      </c>
    </row>
    <row r="1957" spans="1:11">
      <c r="A1957" t="s">
        <v>2004</v>
      </c>
      <c r="B1957" t="s">
        <v>24</v>
      </c>
      <c r="C1957" t="s">
        <v>18</v>
      </c>
      <c r="D1957" t="s">
        <v>15</v>
      </c>
      <c r="E1957" s="1">
        <v>44992</v>
      </c>
      <c r="F1957" s="1">
        <v>44996</v>
      </c>
      <c r="G1957">
        <v>47.5</v>
      </c>
      <c r="H1957">
        <v>127.02</v>
      </c>
      <c r="I1957" t="s">
        <v>16</v>
      </c>
      <c r="J1957">
        <v>545</v>
      </c>
      <c r="K1957">
        <v>4</v>
      </c>
    </row>
    <row r="1958" spans="1:11">
      <c r="A1958" t="s">
        <v>2005</v>
      </c>
      <c r="B1958" t="s">
        <v>57</v>
      </c>
      <c r="C1958" t="s">
        <v>29</v>
      </c>
      <c r="D1958" t="s">
        <v>33</v>
      </c>
      <c r="E1958" s="1">
        <v>44951</v>
      </c>
      <c r="F1958" s="1">
        <v>44954</v>
      </c>
      <c r="G1958">
        <v>26.5</v>
      </c>
      <c r="H1958">
        <v>181.68</v>
      </c>
      <c r="I1958" t="s">
        <v>16</v>
      </c>
      <c r="J1958">
        <v>1116</v>
      </c>
      <c r="K1958">
        <v>3</v>
      </c>
    </row>
    <row r="1959" spans="1:11">
      <c r="A1959" t="s">
        <v>2006</v>
      </c>
      <c r="B1959" t="s">
        <v>13</v>
      </c>
      <c r="C1959" t="s">
        <v>45</v>
      </c>
      <c r="D1959" t="s">
        <v>19</v>
      </c>
      <c r="E1959" s="1">
        <v>44982</v>
      </c>
      <c r="F1959" s="1">
        <v>44985</v>
      </c>
      <c r="G1959">
        <v>9.8000000000000007</v>
      </c>
      <c r="H1959">
        <v>157.80000000000001</v>
      </c>
      <c r="I1959" t="s">
        <v>16</v>
      </c>
      <c r="J1959">
        <v>992</v>
      </c>
      <c r="K1959">
        <v>3</v>
      </c>
    </row>
    <row r="1960" spans="1:11">
      <c r="A1960" t="s">
        <v>2007</v>
      </c>
      <c r="B1960" t="s">
        <v>57</v>
      </c>
      <c r="C1960" t="s">
        <v>47</v>
      </c>
      <c r="D1960" t="s">
        <v>60</v>
      </c>
      <c r="E1960" s="1">
        <v>45146</v>
      </c>
      <c r="F1960" s="1">
        <v>45152</v>
      </c>
      <c r="G1960">
        <v>23.4</v>
      </c>
      <c r="H1960">
        <v>226.29</v>
      </c>
      <c r="I1960" t="s">
        <v>63</v>
      </c>
      <c r="J1960">
        <v>1921</v>
      </c>
      <c r="K1960">
        <v>6</v>
      </c>
    </row>
    <row r="1961" spans="1:11">
      <c r="A1961" t="s">
        <v>2008</v>
      </c>
      <c r="B1961" t="s">
        <v>50</v>
      </c>
      <c r="C1961" t="s">
        <v>32</v>
      </c>
      <c r="D1961" t="s">
        <v>60</v>
      </c>
      <c r="E1961" s="1">
        <v>44951</v>
      </c>
      <c r="F1961" s="1">
        <v>44952</v>
      </c>
      <c r="G1961">
        <v>6.1</v>
      </c>
      <c r="H1961">
        <v>38.31</v>
      </c>
      <c r="I1961" t="s">
        <v>16</v>
      </c>
      <c r="J1961">
        <v>247</v>
      </c>
      <c r="K1961">
        <v>1</v>
      </c>
    </row>
    <row r="1962" spans="1:11">
      <c r="A1962" t="s">
        <v>2009</v>
      </c>
      <c r="B1962" t="s">
        <v>13</v>
      </c>
      <c r="C1962" t="s">
        <v>47</v>
      </c>
      <c r="D1962" t="s">
        <v>33</v>
      </c>
      <c r="E1962" s="1">
        <v>45219</v>
      </c>
      <c r="F1962" s="1">
        <v>45224</v>
      </c>
      <c r="G1962">
        <v>12.9</v>
      </c>
      <c r="H1962">
        <v>245.79</v>
      </c>
      <c r="I1962" t="s">
        <v>16</v>
      </c>
      <c r="J1962">
        <v>1734</v>
      </c>
      <c r="K1962">
        <v>5</v>
      </c>
    </row>
    <row r="1963" spans="1:11">
      <c r="A1963" t="s">
        <v>2010</v>
      </c>
      <c r="B1963" t="s">
        <v>50</v>
      </c>
      <c r="C1963" t="s">
        <v>45</v>
      </c>
      <c r="D1963" t="s">
        <v>15</v>
      </c>
      <c r="E1963" s="1">
        <v>45200</v>
      </c>
      <c r="F1963" s="1">
        <v>45204</v>
      </c>
      <c r="G1963">
        <v>25.7</v>
      </c>
      <c r="H1963">
        <v>208.58</v>
      </c>
      <c r="I1963" t="s">
        <v>16</v>
      </c>
      <c r="J1963">
        <v>1515</v>
      </c>
      <c r="K1963">
        <v>4</v>
      </c>
    </row>
    <row r="1964" spans="1:11">
      <c r="A1964" t="s">
        <v>2011</v>
      </c>
      <c r="B1964" t="s">
        <v>21</v>
      </c>
      <c r="C1964" t="s">
        <v>53</v>
      </c>
      <c r="D1964" t="s">
        <v>15</v>
      </c>
      <c r="E1964" s="1">
        <v>45044</v>
      </c>
      <c r="F1964" s="1">
        <v>45053</v>
      </c>
      <c r="G1964">
        <v>10.9</v>
      </c>
      <c r="H1964">
        <v>66.58</v>
      </c>
      <c r="I1964" t="s">
        <v>48</v>
      </c>
      <c r="J1964">
        <v>373</v>
      </c>
      <c r="K1964">
        <v>4</v>
      </c>
    </row>
    <row r="1965" spans="1:11">
      <c r="A1965" t="s">
        <v>2012</v>
      </c>
      <c r="B1965" t="s">
        <v>13</v>
      </c>
      <c r="C1965" t="s">
        <v>14</v>
      </c>
      <c r="D1965" t="s">
        <v>43</v>
      </c>
      <c r="E1965" s="1">
        <v>45251</v>
      </c>
      <c r="F1965" s="1">
        <v>45257</v>
      </c>
      <c r="G1965">
        <v>31.5</v>
      </c>
      <c r="H1965">
        <v>320.88</v>
      </c>
      <c r="I1965" t="s">
        <v>16</v>
      </c>
      <c r="J1965">
        <v>1900</v>
      </c>
      <c r="K1965">
        <v>6</v>
      </c>
    </row>
    <row r="1966" spans="1:11">
      <c r="A1966" t="s">
        <v>2013</v>
      </c>
      <c r="B1966" t="s">
        <v>40</v>
      </c>
      <c r="C1966" t="s">
        <v>71</v>
      </c>
      <c r="D1966" t="s">
        <v>15</v>
      </c>
      <c r="E1966" s="1">
        <v>45176</v>
      </c>
      <c r="F1966" s="1">
        <v>45184</v>
      </c>
      <c r="G1966">
        <v>36.700000000000003</v>
      </c>
      <c r="H1966">
        <v>314.18</v>
      </c>
      <c r="I1966" t="s">
        <v>16</v>
      </c>
      <c r="J1966">
        <v>2317</v>
      </c>
      <c r="K1966">
        <v>8</v>
      </c>
    </row>
    <row r="1967" spans="1:11">
      <c r="A1967" t="s">
        <v>2014</v>
      </c>
      <c r="B1967" t="s">
        <v>36</v>
      </c>
      <c r="C1967" t="s">
        <v>22</v>
      </c>
      <c r="D1967" t="s">
        <v>60</v>
      </c>
      <c r="E1967" s="1">
        <v>44929</v>
      </c>
      <c r="F1967" s="1">
        <v>44936</v>
      </c>
      <c r="G1967">
        <v>19.2</v>
      </c>
      <c r="H1967">
        <v>300.32</v>
      </c>
      <c r="I1967" t="s">
        <v>16</v>
      </c>
      <c r="J1967">
        <v>2300</v>
      </c>
      <c r="K1967">
        <v>7</v>
      </c>
    </row>
    <row r="1968" spans="1:11">
      <c r="A1968" t="s">
        <v>2015</v>
      </c>
      <c r="B1968" t="s">
        <v>40</v>
      </c>
      <c r="C1968" t="s">
        <v>29</v>
      </c>
      <c r="D1968" t="s">
        <v>15</v>
      </c>
      <c r="E1968" s="1">
        <v>44962</v>
      </c>
      <c r="F1968" s="1">
        <v>44968</v>
      </c>
      <c r="G1968">
        <v>53.9</v>
      </c>
      <c r="H1968">
        <v>377.64</v>
      </c>
      <c r="I1968" t="s">
        <v>16</v>
      </c>
      <c r="J1968">
        <v>2226</v>
      </c>
      <c r="K1968">
        <v>6</v>
      </c>
    </row>
    <row r="1969" spans="1:11">
      <c r="A1969" t="s">
        <v>2016</v>
      </c>
      <c r="B1969" t="s">
        <v>50</v>
      </c>
      <c r="C1969" t="s">
        <v>82</v>
      </c>
      <c r="D1969" t="s">
        <v>43</v>
      </c>
      <c r="E1969" s="1">
        <v>45001</v>
      </c>
      <c r="F1969" s="1">
        <v>45006</v>
      </c>
      <c r="G1969">
        <v>39.4</v>
      </c>
      <c r="H1969">
        <v>149.04</v>
      </c>
      <c r="I1969" t="s">
        <v>16</v>
      </c>
      <c r="J1969">
        <v>826</v>
      </c>
      <c r="K1969">
        <v>5</v>
      </c>
    </row>
    <row r="1970" spans="1:11">
      <c r="A1970" t="s">
        <v>2017</v>
      </c>
      <c r="B1970" t="s">
        <v>52</v>
      </c>
      <c r="C1970" t="s">
        <v>25</v>
      </c>
      <c r="D1970" t="s">
        <v>43</v>
      </c>
      <c r="E1970" s="1">
        <v>44953</v>
      </c>
      <c r="F1970" s="1">
        <v>44960</v>
      </c>
      <c r="G1970">
        <v>73.2</v>
      </c>
      <c r="H1970">
        <v>294.41000000000003</v>
      </c>
      <c r="I1970" t="s">
        <v>16</v>
      </c>
      <c r="J1970">
        <v>1577</v>
      </c>
      <c r="K1970">
        <v>7</v>
      </c>
    </row>
    <row r="1971" spans="1:11">
      <c r="A1971" t="s">
        <v>2018</v>
      </c>
      <c r="B1971" t="s">
        <v>21</v>
      </c>
      <c r="C1971" t="s">
        <v>29</v>
      </c>
      <c r="D1971" t="s">
        <v>38</v>
      </c>
      <c r="E1971" s="1">
        <v>45206</v>
      </c>
      <c r="F1971" s="1">
        <v>45209</v>
      </c>
      <c r="G1971">
        <v>8.3000000000000007</v>
      </c>
      <c r="H1971">
        <v>174.8</v>
      </c>
      <c r="I1971" t="s">
        <v>16</v>
      </c>
      <c r="J1971">
        <v>1435</v>
      </c>
      <c r="K1971">
        <v>3</v>
      </c>
    </row>
    <row r="1972" spans="1:11">
      <c r="A1972" t="s">
        <v>2019</v>
      </c>
      <c r="B1972" t="s">
        <v>28</v>
      </c>
      <c r="C1972" t="s">
        <v>29</v>
      </c>
      <c r="D1972" t="s">
        <v>26</v>
      </c>
      <c r="E1972" s="1">
        <v>45240</v>
      </c>
      <c r="F1972" s="1">
        <v>45243</v>
      </c>
      <c r="G1972">
        <v>20.399999999999999</v>
      </c>
      <c r="H1972">
        <v>149.88999999999999</v>
      </c>
      <c r="I1972" t="s">
        <v>16</v>
      </c>
      <c r="J1972">
        <v>943</v>
      </c>
      <c r="K1972">
        <v>3</v>
      </c>
    </row>
    <row r="1973" spans="1:11">
      <c r="A1973" t="s">
        <v>2020</v>
      </c>
      <c r="B1973" t="s">
        <v>40</v>
      </c>
      <c r="C1973" t="s">
        <v>45</v>
      </c>
      <c r="D1973" t="s">
        <v>43</v>
      </c>
      <c r="E1973" s="1">
        <v>44995</v>
      </c>
      <c r="F1973" s="1">
        <v>44999</v>
      </c>
      <c r="G1973">
        <v>9.5</v>
      </c>
      <c r="H1973">
        <v>217.11</v>
      </c>
      <c r="I1973" t="s">
        <v>16</v>
      </c>
      <c r="J1973">
        <v>1843</v>
      </c>
      <c r="K1973">
        <v>4</v>
      </c>
    </row>
    <row r="1974" spans="1:11">
      <c r="A1974" t="s">
        <v>2021</v>
      </c>
      <c r="B1974" t="s">
        <v>31</v>
      </c>
      <c r="C1974" t="s">
        <v>22</v>
      </c>
      <c r="D1974" t="s">
        <v>60</v>
      </c>
      <c r="E1974" s="1">
        <v>45106</v>
      </c>
      <c r="F1974" s="1">
        <v>45107</v>
      </c>
      <c r="G1974">
        <v>9.5</v>
      </c>
      <c r="H1974">
        <v>31.25</v>
      </c>
      <c r="I1974" t="s">
        <v>16</v>
      </c>
      <c r="J1974">
        <v>209</v>
      </c>
      <c r="K1974">
        <v>1</v>
      </c>
    </row>
    <row r="1975" spans="1:11">
      <c r="A1975" t="s">
        <v>2022</v>
      </c>
      <c r="B1975" t="s">
        <v>52</v>
      </c>
      <c r="C1975" t="s">
        <v>22</v>
      </c>
      <c r="D1975" t="s">
        <v>33</v>
      </c>
      <c r="E1975" s="1">
        <v>45069</v>
      </c>
      <c r="F1975" s="1">
        <v>45073</v>
      </c>
      <c r="G1975">
        <v>16.100000000000001</v>
      </c>
      <c r="H1975">
        <v>252.26</v>
      </c>
      <c r="I1975" t="s">
        <v>16</v>
      </c>
      <c r="J1975">
        <v>1711</v>
      </c>
      <c r="K1975">
        <v>4</v>
      </c>
    </row>
    <row r="1976" spans="1:11">
      <c r="A1976" t="s">
        <v>2023</v>
      </c>
      <c r="B1976" t="s">
        <v>21</v>
      </c>
      <c r="C1976" t="s">
        <v>22</v>
      </c>
      <c r="D1976" t="s">
        <v>19</v>
      </c>
      <c r="E1976" s="1">
        <v>45147</v>
      </c>
      <c r="F1976" s="1">
        <v>45151</v>
      </c>
      <c r="G1976">
        <v>14.4</v>
      </c>
      <c r="H1976">
        <v>125.69</v>
      </c>
      <c r="I1976" t="s">
        <v>16</v>
      </c>
      <c r="J1976">
        <v>693</v>
      </c>
      <c r="K1976">
        <v>4</v>
      </c>
    </row>
    <row r="1977" spans="1:11">
      <c r="A1977" t="s">
        <v>2024</v>
      </c>
      <c r="B1977" t="s">
        <v>31</v>
      </c>
      <c r="C1977" t="s">
        <v>22</v>
      </c>
      <c r="D1977" t="s">
        <v>43</v>
      </c>
      <c r="E1977" s="1">
        <v>45276</v>
      </c>
      <c r="F1977" s="1">
        <v>45278</v>
      </c>
      <c r="G1977">
        <v>18.7</v>
      </c>
      <c r="H1977">
        <v>166.44</v>
      </c>
      <c r="I1977" t="s">
        <v>16</v>
      </c>
      <c r="J1977">
        <v>998</v>
      </c>
      <c r="K1977">
        <v>2</v>
      </c>
    </row>
    <row r="1978" spans="1:11">
      <c r="A1978" t="s">
        <v>2025</v>
      </c>
      <c r="B1978" t="s">
        <v>21</v>
      </c>
      <c r="C1978" t="s">
        <v>29</v>
      </c>
      <c r="D1978" t="s">
        <v>38</v>
      </c>
      <c r="E1978" s="1">
        <v>45176</v>
      </c>
      <c r="F1978" s="1">
        <v>45180</v>
      </c>
      <c r="G1978">
        <v>27.8</v>
      </c>
      <c r="H1978">
        <v>198.3</v>
      </c>
      <c r="I1978" t="s">
        <v>16</v>
      </c>
      <c r="J1978">
        <v>1435</v>
      </c>
      <c r="K1978">
        <v>4</v>
      </c>
    </row>
    <row r="1979" spans="1:11">
      <c r="A1979" t="s">
        <v>2026</v>
      </c>
      <c r="B1979" t="s">
        <v>36</v>
      </c>
      <c r="C1979" t="s">
        <v>22</v>
      </c>
      <c r="D1979" t="s">
        <v>15</v>
      </c>
      <c r="E1979" s="1">
        <v>45056</v>
      </c>
      <c r="F1979" s="1">
        <v>45069</v>
      </c>
      <c r="G1979">
        <v>29.6</v>
      </c>
      <c r="H1979">
        <v>300.77</v>
      </c>
      <c r="I1979" t="s">
        <v>48</v>
      </c>
      <c r="J1979">
        <v>2345</v>
      </c>
      <c r="K1979">
        <v>6</v>
      </c>
    </row>
    <row r="1980" spans="1:11">
      <c r="A1980" t="s">
        <v>2027</v>
      </c>
      <c r="B1980" t="s">
        <v>36</v>
      </c>
      <c r="C1980" t="s">
        <v>18</v>
      </c>
      <c r="D1980" t="s">
        <v>60</v>
      </c>
      <c r="E1980" s="1">
        <v>45040</v>
      </c>
      <c r="F1980" s="1">
        <v>45045</v>
      </c>
      <c r="G1980">
        <v>31.3</v>
      </c>
      <c r="H1980">
        <v>291.05</v>
      </c>
      <c r="I1980" t="s">
        <v>16</v>
      </c>
      <c r="J1980">
        <v>2030</v>
      </c>
      <c r="K1980">
        <v>5</v>
      </c>
    </row>
    <row r="1981" spans="1:11">
      <c r="A1981" t="s">
        <v>2028</v>
      </c>
      <c r="B1981" t="s">
        <v>28</v>
      </c>
      <c r="C1981" t="s">
        <v>37</v>
      </c>
      <c r="D1981" t="s">
        <v>33</v>
      </c>
      <c r="E1981" s="1">
        <v>45051</v>
      </c>
      <c r="F1981" s="1">
        <v>45056</v>
      </c>
      <c r="G1981">
        <v>54.6</v>
      </c>
      <c r="H1981">
        <v>307.89999999999998</v>
      </c>
      <c r="I1981" t="s">
        <v>16</v>
      </c>
      <c r="J1981">
        <v>1675</v>
      </c>
      <c r="K1981">
        <v>5</v>
      </c>
    </row>
    <row r="1982" spans="1:11">
      <c r="A1982" t="s">
        <v>2029</v>
      </c>
      <c r="B1982" t="s">
        <v>28</v>
      </c>
      <c r="C1982" t="s">
        <v>41</v>
      </c>
      <c r="D1982" t="s">
        <v>19</v>
      </c>
      <c r="E1982" s="1">
        <v>44988</v>
      </c>
      <c r="F1982" s="1">
        <v>44994</v>
      </c>
      <c r="G1982">
        <v>21.5</v>
      </c>
      <c r="H1982">
        <v>264.67</v>
      </c>
      <c r="I1982" t="s">
        <v>16</v>
      </c>
      <c r="J1982">
        <v>1813</v>
      </c>
      <c r="K1982">
        <v>6</v>
      </c>
    </row>
    <row r="1983" spans="1:11">
      <c r="A1983" t="s">
        <v>2030</v>
      </c>
      <c r="B1983" t="s">
        <v>28</v>
      </c>
      <c r="C1983" t="s">
        <v>32</v>
      </c>
      <c r="D1983" t="s">
        <v>15</v>
      </c>
      <c r="E1983" s="1">
        <v>44976</v>
      </c>
      <c r="F1983" s="1">
        <v>44978</v>
      </c>
      <c r="G1983">
        <v>20.100000000000001</v>
      </c>
      <c r="H1983">
        <v>100.6</v>
      </c>
      <c r="I1983" t="s">
        <v>16</v>
      </c>
      <c r="J1983">
        <v>596</v>
      </c>
      <c r="K1983">
        <v>2</v>
      </c>
    </row>
    <row r="1984" spans="1:11">
      <c r="A1984" t="s">
        <v>2031</v>
      </c>
      <c r="B1984" t="s">
        <v>57</v>
      </c>
      <c r="C1984" t="s">
        <v>58</v>
      </c>
      <c r="D1984" t="s">
        <v>26</v>
      </c>
      <c r="E1984" s="1">
        <v>44996</v>
      </c>
      <c r="F1984" s="1">
        <v>45004</v>
      </c>
      <c r="G1984">
        <v>33.9</v>
      </c>
      <c r="H1984">
        <v>172.51</v>
      </c>
      <c r="I1984" t="s">
        <v>16</v>
      </c>
      <c r="J1984">
        <v>1174</v>
      </c>
      <c r="K1984">
        <v>8</v>
      </c>
    </row>
    <row r="1985" spans="1:11">
      <c r="A1985" t="s">
        <v>2032</v>
      </c>
      <c r="B1985" t="s">
        <v>50</v>
      </c>
      <c r="C1985" t="s">
        <v>18</v>
      </c>
      <c r="D1985" t="s">
        <v>38</v>
      </c>
      <c r="E1985" s="1">
        <v>45062</v>
      </c>
      <c r="F1985" s="1">
        <v>45063</v>
      </c>
      <c r="G1985">
        <v>36.5</v>
      </c>
      <c r="H1985">
        <v>58.02</v>
      </c>
      <c r="I1985" t="s">
        <v>16</v>
      </c>
      <c r="J1985">
        <v>145</v>
      </c>
      <c r="K1985">
        <v>1</v>
      </c>
    </row>
    <row r="1986" spans="1:11">
      <c r="A1986" t="s">
        <v>2033</v>
      </c>
      <c r="B1986" t="s">
        <v>21</v>
      </c>
      <c r="C1986" t="s">
        <v>82</v>
      </c>
      <c r="D1986" t="s">
        <v>15</v>
      </c>
      <c r="E1986" s="1">
        <v>45228</v>
      </c>
      <c r="F1986" s="1">
        <v>45229</v>
      </c>
      <c r="G1986">
        <v>33</v>
      </c>
      <c r="H1986">
        <v>58.45</v>
      </c>
      <c r="I1986" t="s">
        <v>16</v>
      </c>
      <c r="J1986">
        <v>111</v>
      </c>
      <c r="K1986">
        <v>1</v>
      </c>
    </row>
    <row r="1987" spans="1:11">
      <c r="A1987" t="s">
        <v>2034</v>
      </c>
      <c r="B1987" t="s">
        <v>52</v>
      </c>
      <c r="C1987" t="s">
        <v>32</v>
      </c>
      <c r="D1987" t="s">
        <v>19</v>
      </c>
      <c r="E1987" s="1">
        <v>45197</v>
      </c>
      <c r="F1987" s="1">
        <v>45202</v>
      </c>
      <c r="G1987">
        <v>40</v>
      </c>
      <c r="H1987">
        <v>308.58999999999997</v>
      </c>
      <c r="I1987" t="s">
        <v>16</v>
      </c>
      <c r="J1987">
        <v>2018</v>
      </c>
      <c r="K1987">
        <v>5</v>
      </c>
    </row>
    <row r="1988" spans="1:11">
      <c r="A1988" t="s">
        <v>2035</v>
      </c>
      <c r="B1988" t="s">
        <v>13</v>
      </c>
      <c r="C1988" t="s">
        <v>41</v>
      </c>
      <c r="D1988" t="s">
        <v>26</v>
      </c>
      <c r="E1988" s="1">
        <v>45211</v>
      </c>
      <c r="F1988" s="1">
        <v>45216</v>
      </c>
      <c r="G1988">
        <v>4.8</v>
      </c>
      <c r="H1988">
        <v>31.95</v>
      </c>
      <c r="I1988" t="s">
        <v>48</v>
      </c>
      <c r="J1988">
        <v>236</v>
      </c>
      <c r="K1988">
        <v>3</v>
      </c>
    </row>
    <row r="1989" spans="1:11">
      <c r="A1989" t="s">
        <v>2036</v>
      </c>
      <c r="B1989" t="s">
        <v>40</v>
      </c>
      <c r="C1989" t="s">
        <v>55</v>
      </c>
      <c r="D1989" t="s">
        <v>43</v>
      </c>
      <c r="E1989" s="1">
        <v>45139</v>
      </c>
      <c r="F1989" s="1">
        <v>45142</v>
      </c>
      <c r="G1989">
        <v>6.5</v>
      </c>
      <c r="H1989">
        <v>115.78</v>
      </c>
      <c r="I1989" t="s">
        <v>16</v>
      </c>
      <c r="J1989">
        <v>948</v>
      </c>
      <c r="K1989">
        <v>3</v>
      </c>
    </row>
    <row r="1990" spans="1:11">
      <c r="A1990" t="s">
        <v>2037</v>
      </c>
      <c r="B1990" t="s">
        <v>21</v>
      </c>
      <c r="C1990" t="s">
        <v>18</v>
      </c>
      <c r="D1990" t="s">
        <v>38</v>
      </c>
      <c r="E1990" s="1">
        <v>44944</v>
      </c>
      <c r="F1990" s="1">
        <v>44952</v>
      </c>
      <c r="G1990">
        <v>78.2</v>
      </c>
      <c r="H1990">
        <v>392</v>
      </c>
      <c r="I1990" t="s">
        <v>16</v>
      </c>
      <c r="J1990">
        <v>2309</v>
      </c>
      <c r="K1990">
        <v>8</v>
      </c>
    </row>
    <row r="1991" spans="1:11">
      <c r="A1991" t="s">
        <v>2038</v>
      </c>
      <c r="B1991" t="s">
        <v>36</v>
      </c>
      <c r="C1991" t="s">
        <v>55</v>
      </c>
      <c r="D1991" t="s">
        <v>33</v>
      </c>
      <c r="E1991" s="1">
        <v>45267</v>
      </c>
      <c r="F1991" s="1">
        <v>45272</v>
      </c>
      <c r="G1991">
        <v>29.1</v>
      </c>
      <c r="H1991">
        <v>240.47</v>
      </c>
      <c r="I1991" t="s">
        <v>16</v>
      </c>
      <c r="J1991">
        <v>1350</v>
      </c>
      <c r="K1991">
        <v>5</v>
      </c>
    </row>
    <row r="1992" spans="1:11">
      <c r="A1992" t="s">
        <v>2039</v>
      </c>
      <c r="B1992" t="s">
        <v>40</v>
      </c>
      <c r="C1992" t="s">
        <v>45</v>
      </c>
      <c r="D1992" t="s">
        <v>26</v>
      </c>
      <c r="E1992" s="1">
        <v>44970</v>
      </c>
      <c r="F1992" s="1">
        <v>44975</v>
      </c>
      <c r="G1992">
        <v>38.799999999999997</v>
      </c>
      <c r="H1992">
        <v>248.5</v>
      </c>
      <c r="I1992" t="s">
        <v>16</v>
      </c>
      <c r="J1992">
        <v>1877</v>
      </c>
      <c r="K1992">
        <v>5</v>
      </c>
    </row>
    <row r="1993" spans="1:11">
      <c r="A1993" t="s">
        <v>2040</v>
      </c>
      <c r="B1993" t="s">
        <v>50</v>
      </c>
      <c r="C1993" t="s">
        <v>25</v>
      </c>
      <c r="D1993" t="s">
        <v>19</v>
      </c>
      <c r="E1993" s="1">
        <v>45104</v>
      </c>
      <c r="F1993" s="1">
        <v>45110</v>
      </c>
      <c r="G1993">
        <v>17.7</v>
      </c>
      <c r="H1993">
        <v>368.38</v>
      </c>
      <c r="I1993" t="s">
        <v>16</v>
      </c>
      <c r="J1993">
        <v>2300</v>
      </c>
      <c r="K1993">
        <v>6</v>
      </c>
    </row>
    <row r="1994" spans="1:11">
      <c r="A1994" t="s">
        <v>2041</v>
      </c>
      <c r="B1994" t="s">
        <v>31</v>
      </c>
      <c r="C1994" t="s">
        <v>37</v>
      </c>
      <c r="D1994" t="s">
        <v>26</v>
      </c>
      <c r="E1994" s="1">
        <v>45203</v>
      </c>
      <c r="F1994" s="1">
        <v>45204</v>
      </c>
      <c r="G1994">
        <v>43.2</v>
      </c>
      <c r="H1994">
        <v>73.03</v>
      </c>
      <c r="I1994" t="s">
        <v>16</v>
      </c>
      <c r="J1994">
        <v>177</v>
      </c>
      <c r="K1994">
        <v>1</v>
      </c>
    </row>
    <row r="1995" spans="1:11">
      <c r="A1995" t="s">
        <v>2042</v>
      </c>
      <c r="B1995" t="s">
        <v>36</v>
      </c>
      <c r="C1995" t="s">
        <v>47</v>
      </c>
      <c r="D1995" t="s">
        <v>19</v>
      </c>
      <c r="E1995" s="1">
        <v>45086</v>
      </c>
      <c r="F1995" s="1">
        <v>45092</v>
      </c>
      <c r="G1995">
        <v>10.3</v>
      </c>
      <c r="H1995">
        <v>355.32</v>
      </c>
      <c r="I1995" t="s">
        <v>16</v>
      </c>
      <c r="J1995">
        <v>2350</v>
      </c>
      <c r="K1995">
        <v>6</v>
      </c>
    </row>
    <row r="1996" spans="1:11">
      <c r="A1996" t="s">
        <v>2043</v>
      </c>
      <c r="B1996" t="s">
        <v>28</v>
      </c>
      <c r="C1996" t="s">
        <v>25</v>
      </c>
      <c r="D1996" t="s">
        <v>38</v>
      </c>
      <c r="E1996" s="1">
        <v>45240</v>
      </c>
      <c r="F1996" s="1">
        <v>45242</v>
      </c>
      <c r="G1996">
        <v>59.7</v>
      </c>
      <c r="H1996">
        <v>130</v>
      </c>
      <c r="I1996" t="s">
        <v>16</v>
      </c>
      <c r="J1996">
        <v>237</v>
      </c>
      <c r="K1996">
        <v>2</v>
      </c>
    </row>
    <row r="1997" spans="1:11">
      <c r="A1997" t="s">
        <v>2044</v>
      </c>
      <c r="B1997" t="s">
        <v>24</v>
      </c>
      <c r="C1997" t="s">
        <v>14</v>
      </c>
      <c r="D1997" t="s">
        <v>33</v>
      </c>
      <c r="E1997" s="1">
        <v>44944</v>
      </c>
      <c r="F1997" s="1">
        <v>44949</v>
      </c>
      <c r="G1997">
        <v>7.9</v>
      </c>
      <c r="H1997">
        <v>217.78</v>
      </c>
      <c r="I1997" t="s">
        <v>16</v>
      </c>
      <c r="J1997">
        <v>1616</v>
      </c>
      <c r="K1997">
        <v>5</v>
      </c>
    </row>
    <row r="1998" spans="1:11">
      <c r="A1998" t="s">
        <v>2045</v>
      </c>
      <c r="B1998" t="s">
        <v>40</v>
      </c>
      <c r="C1998" t="s">
        <v>53</v>
      </c>
      <c r="D1998" t="s">
        <v>15</v>
      </c>
      <c r="E1998" s="1">
        <v>45226</v>
      </c>
      <c r="F1998" s="1">
        <v>45231</v>
      </c>
      <c r="G1998">
        <v>36.5</v>
      </c>
      <c r="H1998">
        <v>279.47000000000003</v>
      </c>
      <c r="I1998" t="s">
        <v>16</v>
      </c>
      <c r="J1998">
        <v>1708</v>
      </c>
      <c r="K1998">
        <v>5</v>
      </c>
    </row>
    <row r="1999" spans="1:11">
      <c r="A1999" t="s">
        <v>2046</v>
      </c>
      <c r="B1999" t="s">
        <v>40</v>
      </c>
      <c r="C1999" t="s">
        <v>37</v>
      </c>
      <c r="D1999" t="s">
        <v>43</v>
      </c>
      <c r="E1999" s="1">
        <v>44970</v>
      </c>
      <c r="F1999" s="1">
        <v>44976</v>
      </c>
      <c r="G1999">
        <v>11.4</v>
      </c>
      <c r="H1999">
        <v>250.32</v>
      </c>
      <c r="I1999" t="s">
        <v>16</v>
      </c>
      <c r="J1999">
        <v>1912</v>
      </c>
      <c r="K1999">
        <v>6</v>
      </c>
    </row>
    <row r="2000" spans="1:11">
      <c r="A2000" t="s">
        <v>2047</v>
      </c>
      <c r="B2000" t="s">
        <v>50</v>
      </c>
      <c r="C2000" t="s">
        <v>41</v>
      </c>
      <c r="D2000" t="s">
        <v>60</v>
      </c>
      <c r="E2000" s="1">
        <v>45216</v>
      </c>
      <c r="F2000" s="1">
        <v>45221</v>
      </c>
      <c r="G2000">
        <v>10.9</v>
      </c>
      <c r="H2000">
        <v>272.31</v>
      </c>
      <c r="I2000" t="s">
        <v>16</v>
      </c>
      <c r="J2000">
        <v>2188</v>
      </c>
      <c r="K2000">
        <v>5</v>
      </c>
    </row>
    <row r="2001" spans="1:11">
      <c r="A2001" t="s">
        <v>2048</v>
      </c>
      <c r="B2001" t="s">
        <v>13</v>
      </c>
      <c r="C2001" t="s">
        <v>37</v>
      </c>
      <c r="D2001" t="s">
        <v>26</v>
      </c>
      <c r="E2001" s="1">
        <v>45115</v>
      </c>
      <c r="G2001">
        <v>49.5</v>
      </c>
      <c r="H2001">
        <v>360.74</v>
      </c>
      <c r="I2001" t="s">
        <v>16</v>
      </c>
      <c r="J2001">
        <v>2321</v>
      </c>
      <c r="K200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4DC8-D0E9-4EA5-B37E-DD5DAB93021A}">
  <dimension ref="A1:G12"/>
  <sheetViews>
    <sheetView workbookViewId="0">
      <selection activeCell="G11" sqref="G11"/>
    </sheetView>
  </sheetViews>
  <sheetFormatPr defaultRowHeight="15"/>
  <cols>
    <col min="1" max="1" width="17.85546875" bestFit="1" customWidth="1"/>
    <col min="5" max="5" width="9.140625" style="3"/>
  </cols>
  <sheetData>
    <row r="1" spans="1:7">
      <c r="A1" t="s">
        <v>2049</v>
      </c>
      <c r="B1" t="s">
        <v>2050</v>
      </c>
      <c r="C1" t="s">
        <v>2051</v>
      </c>
      <c r="D1" t="s">
        <v>2052</v>
      </c>
      <c r="E1" s="3" t="s">
        <v>2053</v>
      </c>
      <c r="F1" t="s">
        <v>2054</v>
      </c>
      <c r="G1" t="s">
        <v>2055</v>
      </c>
    </row>
    <row r="2" spans="1:7">
      <c r="A2" t="s">
        <v>0</v>
      </c>
      <c r="B2" t="s">
        <v>2056</v>
      </c>
      <c r="C2">
        <v>2000</v>
      </c>
      <c r="D2">
        <f>COUNTBLANK(Shipments[Shipment_ID])</f>
        <v>0</v>
      </c>
      <c r="E2" s="3">
        <f>D2/C2</f>
        <v>0</v>
      </c>
      <c r="F2">
        <f>COUNTA(_xlfn.UNIQUE(Shipments[Shipment_ID]))</f>
        <v>2000</v>
      </c>
    </row>
    <row r="3" spans="1:7">
      <c r="A3" t="s">
        <v>1</v>
      </c>
      <c r="B3" t="s">
        <v>2056</v>
      </c>
      <c r="C3">
        <v>2000</v>
      </c>
      <c r="D3">
        <f>COUNTBLANK(Shipments[Origin_Warehouse])</f>
        <v>0</v>
      </c>
      <c r="E3" s="3">
        <f t="shared" ref="E3:E12" si="0">D3/C3</f>
        <v>0</v>
      </c>
      <c r="F3">
        <f>COUNTA(_xlfn.UNIQUE(Shipments[Origin_Warehouse]))</f>
        <v>10</v>
      </c>
    </row>
    <row r="4" spans="1:7">
      <c r="A4" t="s">
        <v>2</v>
      </c>
      <c r="B4" t="s">
        <v>2056</v>
      </c>
      <c r="C4">
        <v>2000</v>
      </c>
      <c r="D4">
        <f>COUNTBLANK(Shipments[Destination])</f>
        <v>0</v>
      </c>
      <c r="E4" s="3">
        <f t="shared" si="0"/>
        <v>0</v>
      </c>
      <c r="F4">
        <f>COUNTA(_xlfn.UNIQUE(Shipments[Destination]))</f>
        <v>15</v>
      </c>
    </row>
    <row r="5" spans="1:7">
      <c r="A5" t="s">
        <v>3</v>
      </c>
      <c r="B5" t="s">
        <v>2056</v>
      </c>
      <c r="C5">
        <v>2000</v>
      </c>
      <c r="D5">
        <f>COUNTBLANK(Shipments[Destination])</f>
        <v>0</v>
      </c>
      <c r="E5" s="3">
        <f t="shared" si="0"/>
        <v>0</v>
      </c>
      <c r="F5">
        <f>COUNTA(_xlfn.UNIQUE(Shipments[Carrier]))</f>
        <v>7</v>
      </c>
    </row>
    <row r="6" spans="1:7">
      <c r="A6" t="s">
        <v>4</v>
      </c>
      <c r="B6" t="s">
        <v>2057</v>
      </c>
      <c r="C6">
        <v>2000</v>
      </c>
      <c r="D6">
        <f>COUNTBLANK(Shipments[Shipment_Date])</f>
        <v>0</v>
      </c>
      <c r="E6" s="3">
        <f t="shared" si="0"/>
        <v>0</v>
      </c>
      <c r="F6">
        <f>COUNTA(_xlfn.UNIQUE(Shipments[Shipment_Date]))</f>
        <v>364</v>
      </c>
    </row>
    <row r="7" spans="1:7">
      <c r="A7" t="s">
        <v>5</v>
      </c>
      <c r="B7" t="s">
        <v>2057</v>
      </c>
      <c r="C7">
        <v>2000</v>
      </c>
      <c r="D7">
        <f>COUNTBLANK(Shipments[Delivery_Date])</f>
        <v>32</v>
      </c>
      <c r="E7" s="3">
        <f t="shared" si="0"/>
        <v>1.6E-2</v>
      </c>
      <c r="F7">
        <f>COUNTA(_xlfn.UNIQUE(Shipments[Delivery_Date]))</f>
        <v>369</v>
      </c>
    </row>
    <row r="8" spans="1:7">
      <c r="A8" t="s">
        <v>6</v>
      </c>
      <c r="B8" t="s">
        <v>2058</v>
      </c>
      <c r="C8">
        <v>2000</v>
      </c>
      <c r="D8">
        <f>COUNTBLANK(Shipments[Weight_kg])</f>
        <v>0</v>
      </c>
      <c r="E8" s="3">
        <f t="shared" si="0"/>
        <v>0</v>
      </c>
      <c r="F8">
        <f>COUNTA(_xlfn.UNIQUE(Shipments[Weight_kg]))</f>
        <v>614</v>
      </c>
    </row>
    <row r="9" spans="1:7">
      <c r="A9" t="s">
        <v>7</v>
      </c>
      <c r="B9" t="s">
        <v>2058</v>
      </c>
      <c r="C9">
        <v>2000</v>
      </c>
      <c r="D9">
        <f>COUNTBLANK(Shipments[Cost])</f>
        <v>41</v>
      </c>
      <c r="E9" s="3">
        <f t="shared" si="0"/>
        <v>2.0500000000000001E-2</v>
      </c>
      <c r="F9">
        <f>COUNTA(_xlfn.UNIQUE(Shipments[Cost]))</f>
        <v>1904</v>
      </c>
    </row>
    <row r="10" spans="1:7">
      <c r="A10" t="s">
        <v>8</v>
      </c>
      <c r="B10" t="s">
        <v>2056</v>
      </c>
      <c r="C10">
        <v>2000</v>
      </c>
      <c r="D10">
        <f>COUNTBLANK(Shipments[Status])</f>
        <v>0</v>
      </c>
      <c r="E10" s="3">
        <f t="shared" si="0"/>
        <v>0</v>
      </c>
      <c r="F10">
        <f>COUNTA(_xlfn.UNIQUE(Shipments[Status]))</f>
        <v>5</v>
      </c>
    </row>
    <row r="11" spans="1:7">
      <c r="A11" t="s">
        <v>9</v>
      </c>
      <c r="B11" t="s">
        <v>2058</v>
      </c>
      <c r="C11">
        <v>2000</v>
      </c>
      <c r="D11">
        <f>COUNTBLANK(Shipments[Distance_miles])</f>
        <v>0</v>
      </c>
      <c r="E11" s="3">
        <f t="shared" si="0"/>
        <v>0</v>
      </c>
      <c r="F11">
        <f>COUNTA(_xlfn.UNIQUE(Shipments[Distance_miles]))</f>
        <v>1309</v>
      </c>
    </row>
    <row r="12" spans="1:7">
      <c r="A12" t="s">
        <v>10</v>
      </c>
      <c r="B12" t="s">
        <v>2058</v>
      </c>
      <c r="C12">
        <v>2000</v>
      </c>
      <c r="D12">
        <f>COUNTBLANK(Shipments[Transit_Days])</f>
        <v>0</v>
      </c>
      <c r="E12" s="3">
        <f t="shared" si="0"/>
        <v>0</v>
      </c>
      <c r="F12">
        <f>COUNTA(_xlfn.UNIQUE(Shipments[Transit_Days]))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58AC-0AF4-4EAE-9F47-A3752583CD99}">
  <dimension ref="A1:I5"/>
  <sheetViews>
    <sheetView workbookViewId="0">
      <selection activeCell="I5" sqref="A1:I5"/>
    </sheetView>
  </sheetViews>
  <sheetFormatPr defaultRowHeight="15"/>
  <sheetData>
    <row r="1" spans="1:9" s="2" customFormat="1">
      <c r="A1" s="2" t="s">
        <v>2049</v>
      </c>
      <c r="B1" s="2" t="s">
        <v>2059</v>
      </c>
      <c r="C1" s="2" t="s">
        <v>2060</v>
      </c>
      <c r="D1" s="2" t="s">
        <v>2061</v>
      </c>
      <c r="E1" s="2" t="s">
        <v>2062</v>
      </c>
      <c r="F1" s="2" t="s">
        <v>2063</v>
      </c>
      <c r="G1" s="2" t="s">
        <v>2064</v>
      </c>
      <c r="H1" s="2" t="s">
        <v>2065</v>
      </c>
      <c r="I1" s="2" t="s">
        <v>2055</v>
      </c>
    </row>
    <row r="2" spans="1:9">
      <c r="A2" t="s">
        <v>6</v>
      </c>
      <c r="B2">
        <f>_xlfn.QUARTILE.INC(Shipments[Weight_kg],1)</f>
        <v>12.3</v>
      </c>
      <c r="C2">
        <f>_xlfn.QUARTILE.INC(Shipments[Weight_kg],3)</f>
        <v>33.924999999999997</v>
      </c>
      <c r="D2">
        <f>C2-B2</f>
        <v>21.624999999999996</v>
      </c>
      <c r="E2">
        <f>B2-(1.5*D2)</f>
        <v>-20.137499999999992</v>
      </c>
      <c r="F2">
        <f>C2+(1.5*D2)</f>
        <v>66.362499999999983</v>
      </c>
      <c r="G2">
        <f>COUNTIF(Shipments[Weight_kg],"&lt;"&amp;E2)+COUNTIF(Shipments[Weight_kg],"&gt;"&amp;F2)</f>
        <v>111</v>
      </c>
      <c r="H2" s="3">
        <f>G2/2000</f>
        <v>5.5500000000000001E-2</v>
      </c>
      <c r="I2" t="s">
        <v>2066</v>
      </c>
    </row>
    <row r="3" spans="1:9">
      <c r="A3" t="s">
        <v>7</v>
      </c>
      <c r="B3">
        <f>_xlfn.QUARTILE.INC(Shipments[Cost],1)</f>
        <v>117.71000000000001</v>
      </c>
      <c r="C3">
        <f>_xlfn.QUARTILE.INC(Shipments[Cost],3)</f>
        <v>272.11500000000001</v>
      </c>
      <c r="D3">
        <f t="shared" ref="D3:D5" si="0">C3-B3</f>
        <v>154.405</v>
      </c>
      <c r="E3">
        <f t="shared" ref="E3:E5" si="1">B3-(1.5*D3)</f>
        <v>-113.89750000000001</v>
      </c>
      <c r="F3">
        <f t="shared" ref="F3:F5" si="2">C3+(1.5*D3)</f>
        <v>503.72250000000003</v>
      </c>
      <c r="G3">
        <f>COUNTIF(Shipments[Cost],"&lt;"&amp;E3)+COUNTIF(Shipments[Cost],"&gt;"&amp;F3)</f>
        <v>4</v>
      </c>
      <c r="H3" s="3">
        <f t="shared" ref="H3:H5" si="3">G3/2000</f>
        <v>2E-3</v>
      </c>
    </row>
    <row r="4" spans="1:9">
      <c r="A4" t="s">
        <v>9</v>
      </c>
      <c r="B4">
        <f>_xlfn.QUARTILE.INC(Shipments[Distance_miles],1)</f>
        <v>690.25</v>
      </c>
      <c r="C4">
        <f>_xlfn.QUARTILE.INC(Shipments[Distance_miles],3)</f>
        <v>1867.25</v>
      </c>
      <c r="D4">
        <f t="shared" si="0"/>
        <v>1177</v>
      </c>
      <c r="E4">
        <f t="shared" si="1"/>
        <v>-1075.25</v>
      </c>
      <c r="F4">
        <f t="shared" si="2"/>
        <v>3632.75</v>
      </c>
      <c r="G4">
        <f>COUNTIF(Shipments[Distance_miles],"&lt;"&amp;E4)+COUNTIF(Shipments[Distance_miles],"&gt;"&amp;F4)</f>
        <v>0</v>
      </c>
      <c r="H4" s="3">
        <f t="shared" si="3"/>
        <v>0</v>
      </c>
    </row>
    <row r="5" spans="1:9">
      <c r="A5" t="s">
        <v>10</v>
      </c>
      <c r="B5">
        <f>_xlfn.QUARTILE.INC(Shipments[Transit_Days],1)</f>
        <v>3</v>
      </c>
      <c r="C5">
        <f>_xlfn.QUARTILE.INC(Shipments[Transit_Days],3)</f>
        <v>5</v>
      </c>
      <c r="D5">
        <f>C5-B5</f>
        <v>2</v>
      </c>
      <c r="E5">
        <f t="shared" si="1"/>
        <v>0</v>
      </c>
      <c r="F5">
        <f t="shared" si="2"/>
        <v>8</v>
      </c>
      <c r="G5">
        <f>COUNTIF(Shipments[Transit_Days],"&lt;"&amp;E5)+COUNTIF(Shipments[Transit_Days],"&gt;"&amp;F5)</f>
        <v>35</v>
      </c>
      <c r="H5" s="3">
        <f t="shared" si="3"/>
        <v>1.7500000000000002E-2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Noah Vanderheyden</cp:lastModifiedBy>
  <cp:revision/>
  <dcterms:created xsi:type="dcterms:W3CDTF">2026-09-09T02:59:38Z</dcterms:created>
  <dcterms:modified xsi:type="dcterms:W3CDTF">2026-09-09T03:49:18Z</dcterms:modified>
  <cp:category/>
  <cp:contentStatus/>
</cp:coreProperties>
</file>